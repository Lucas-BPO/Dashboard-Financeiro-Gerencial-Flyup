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asr\OneDrive\Área de Trabalho\Docs Para Salvar\FLYUP EMPREENDIMENTOS\REPORT FINANCEIRO\CLAUDE\Dashboard Financeiro Gerencial\"/>
    </mc:Choice>
  </mc:AlternateContent>
  <xr:revisionPtr revIDLastSave="0" documentId="13_ncr:1_{03F7B919-ACFA-4EC2-B9F4-492992606672}" xr6:coauthVersionLast="47" xr6:coauthVersionMax="47" xr10:uidLastSave="{00000000-0000-0000-0000-000000000000}"/>
  <bookViews>
    <workbookView xWindow="22932" yWindow="-108" windowWidth="23256" windowHeight="12456" xr2:uid="{F2061AD2-1719-4795-BDD0-49664C0E8E6C}"/>
  </bookViews>
  <sheets>
    <sheet name="Apresentação de Resultados" sheetId="1" r:id="rId1"/>
    <sheet name="DF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7" i="1" l="1"/>
  <c r="K86" i="1"/>
  <c r="K85" i="1"/>
  <c r="K84" i="1"/>
  <c r="K83" i="1"/>
  <c r="K82" i="1"/>
  <c r="G83" i="1"/>
  <c r="G87" i="1"/>
  <c r="G86" i="1"/>
  <c r="G85" i="1"/>
  <c r="G84" i="1"/>
  <c r="G82" i="1"/>
  <c r="F87" i="1"/>
  <c r="F86" i="1"/>
  <c r="F85" i="1"/>
  <c r="F84" i="1"/>
  <c r="F83" i="1"/>
  <c r="F82" i="1"/>
  <c r="E87" i="1"/>
  <c r="D87" i="1"/>
  <c r="E86" i="1"/>
  <c r="D86" i="1"/>
  <c r="E85" i="1"/>
  <c r="D85" i="1"/>
  <c r="E84" i="1"/>
  <c r="D84" i="1"/>
  <c r="E83" i="1"/>
  <c r="D83" i="1"/>
  <c r="C87" i="1"/>
  <c r="C86" i="1"/>
  <c r="C85" i="1"/>
  <c r="C84" i="1"/>
  <c r="C83" i="1"/>
  <c r="G79" i="1"/>
  <c r="G80" i="1"/>
  <c r="G81" i="1"/>
  <c r="F79" i="1"/>
  <c r="F80" i="1"/>
  <c r="F81" i="1"/>
  <c r="K81" i="1"/>
  <c r="K80" i="1"/>
  <c r="K79" i="1"/>
  <c r="K78" i="1" l="1"/>
  <c r="G78" i="1"/>
  <c r="F78" i="1"/>
  <c r="K77" i="1"/>
  <c r="K76" i="1"/>
  <c r="K75" i="1"/>
  <c r="K74" i="1"/>
  <c r="K73" i="1"/>
  <c r="K72" i="1"/>
  <c r="D77" i="1"/>
  <c r="D76" i="1"/>
  <c r="D75" i="1"/>
  <c r="D74" i="1"/>
  <c r="D73" i="1"/>
  <c r="D72" i="1"/>
</calcChain>
</file>

<file path=xl/sharedStrings.xml><?xml version="1.0" encoding="utf-8"?>
<sst xmlns="http://schemas.openxmlformats.org/spreadsheetml/2006/main" count="670" uniqueCount="485">
  <si>
    <t>Período</t>
  </si>
  <si>
    <t>Receitas Fixas</t>
  </si>
  <si>
    <t>Receitas Variáveis</t>
  </si>
  <si>
    <t>Despesas Fixas</t>
  </si>
  <si>
    <t>Despesas Variáveis</t>
  </si>
  <si>
    <t>Receitas Consolidadas</t>
  </si>
  <si>
    <t>Despesas Consolidadas</t>
  </si>
  <si>
    <t>Geração do Caixa do Período</t>
  </si>
  <si>
    <t>Saldo Conta Corrente</t>
  </si>
  <si>
    <t>Saldo Contas de Aplicação</t>
  </si>
  <si>
    <t>Saldo Total Das Contas</t>
  </si>
  <si>
    <t>Total de Horas</t>
  </si>
  <si>
    <t>Socios</t>
  </si>
  <si>
    <t>Horas de Voos</t>
  </si>
  <si>
    <t>Sócios</t>
  </si>
  <si>
    <t>WR</t>
  </si>
  <si>
    <t>MGF</t>
  </si>
  <si>
    <t>TudoBom</t>
  </si>
  <si>
    <t>Actual</t>
  </si>
  <si>
    <t>WME</t>
  </si>
  <si>
    <t>Colchões Polar</t>
  </si>
  <si>
    <t>Sonamix</t>
  </si>
  <si>
    <t>Lucélio</t>
  </si>
  <si>
    <t>Barreto e Mosci</t>
  </si>
  <si>
    <t>GGF Participações</t>
  </si>
  <si>
    <t>FLUXO DE CAIXA FLYUP</t>
  </si>
  <si>
    <t>REALIZADO</t>
  </si>
  <si>
    <t>CATEGORIAS</t>
  </si>
  <si>
    <t>Total de Recebimentos</t>
  </si>
  <si>
    <t>78.562,14</t>
  </si>
  <si>
    <t>35.989,66</t>
  </si>
  <si>
    <t>58.902,74</t>
  </si>
  <si>
    <t>105.333,51</t>
  </si>
  <si>
    <t>78.705,73</t>
  </si>
  <si>
    <t>85.980,59</t>
  </si>
  <si>
    <t>79.219,40</t>
  </si>
  <si>
    <t>89.209,91</t>
  </si>
  <si>
    <t>123.590,82</t>
  </si>
  <si>
    <t>53.684,22</t>
  </si>
  <si>
    <t>77.774,51</t>
  </si>
  <si>
    <t>64.007,35</t>
  </si>
  <si>
    <t>72.071,41</t>
  </si>
  <si>
    <t>85.598,19</t>
  </si>
  <si>
    <t>76.047,46</t>
  </si>
  <si>
    <t>93.907,95</t>
  </si>
  <si>
    <t>65.471,82</t>
  </si>
  <si>
    <t>3.01 Receitas Operacionais</t>
  </si>
  <si>
    <t>78.556,14</t>
  </si>
  <si>
    <t>35.984,86</t>
  </si>
  <si>
    <t>58.897,04</t>
  </si>
  <si>
    <t>105.327,51</t>
  </si>
  <si>
    <t>78.699,13</t>
  </si>
  <si>
    <t>85.975,49</t>
  </si>
  <si>
    <t>77.353,10</t>
  </si>
  <si>
    <t>89.200,61</t>
  </si>
  <si>
    <t>118.135,54</t>
  </si>
  <si>
    <t>53.677,92</t>
  </si>
  <si>
    <t>77.769,11</t>
  </si>
  <si>
    <t>64.003,15</t>
  </si>
  <si>
    <t>69.973,51</t>
  </si>
  <si>
    <t>85.592,49</t>
  </si>
  <si>
    <t>76.040,56</t>
  </si>
  <si>
    <t>93.903,75</t>
  </si>
  <si>
    <t>65.465,22</t>
  </si>
  <si>
    <t>Reembolso de Despesas Com o Voo</t>
  </si>
  <si>
    <t>Atendimento Aeroportuário</t>
  </si>
  <si>
    <t>4.002,60</t>
  </si>
  <si>
    <t>3.433,36</t>
  </si>
  <si>
    <t>4.635,28</t>
  </si>
  <si>
    <t>3.523,33</t>
  </si>
  <si>
    <t>2.300,00</t>
  </si>
  <si>
    <t>2.448,00</t>
  </si>
  <si>
    <t>7.951,50</t>
  </si>
  <si>
    <t>2.306,90</t>
  </si>
  <si>
    <t>1.048,87</t>
  </si>
  <si>
    <t>1.048,85</t>
  </si>
  <si>
    <t>1.217,87</t>
  </si>
  <si>
    <t>1.167,44</t>
  </si>
  <si>
    <t>1.993,64</t>
  </si>
  <si>
    <t>2.143,30</t>
  </si>
  <si>
    <t>3.875,35</t>
  </si>
  <si>
    <t>3.997,00</t>
  </si>
  <si>
    <t>DECEA</t>
  </si>
  <si>
    <t>1.701,45</t>
  </si>
  <si>
    <t>1.122,30</t>
  </si>
  <si>
    <t>1.996,51</t>
  </si>
  <si>
    <t>2.433,31</t>
  </si>
  <si>
    <t>1.632,32</t>
  </si>
  <si>
    <t>3.597,47</t>
  </si>
  <si>
    <t>2.513,57</t>
  </si>
  <si>
    <t>1.219,46</t>
  </si>
  <si>
    <t>1.148,24</t>
  </si>
  <si>
    <t>1.281,91</t>
  </si>
  <si>
    <t>1.157,41</t>
  </si>
  <si>
    <t>Hangaragem</t>
  </si>
  <si>
    <t>1.870,00</t>
  </si>
  <si>
    <t>Horas de Voo</t>
  </si>
  <si>
    <t>42.338,33</t>
  </si>
  <si>
    <t>3.356,67</t>
  </si>
  <si>
    <t>26.568,33</t>
  </si>
  <si>
    <t>69.191,68</t>
  </si>
  <si>
    <t>42.053,33</t>
  </si>
  <si>
    <t>49.716,66</t>
  </si>
  <si>
    <t>41.578,34</t>
  </si>
  <si>
    <t>49.020,00</t>
  </si>
  <si>
    <t>80.306,66</t>
  </si>
  <si>
    <t>16.656,67</t>
  </si>
  <si>
    <t>42.591,67</t>
  </si>
  <si>
    <t>26.853,34</t>
  </si>
  <si>
    <t>37.018,35</t>
  </si>
  <si>
    <t>51.173,33</t>
  </si>
  <si>
    <t>41.356,66</t>
  </si>
  <si>
    <t>56.620,01</t>
  </si>
  <si>
    <t>29.259,99</t>
  </si>
  <si>
    <t>Infraero</t>
  </si>
  <si>
    <t>1.687,30</t>
  </si>
  <si>
    <t>2.527,29</t>
  </si>
  <si>
    <t>1.965,96</t>
  </si>
  <si>
    <t>3.086,15</t>
  </si>
  <si>
    <t>3.394,62</t>
  </si>
  <si>
    <t>2.026,50</t>
  </si>
  <si>
    <t>3.308,70</t>
  </si>
  <si>
    <t>4.006,43</t>
  </si>
  <si>
    <t>3.534,27</t>
  </si>
  <si>
    <t>2.626,22</t>
  </si>
  <si>
    <t>2.784,51</t>
  </si>
  <si>
    <t>2.893,48</t>
  </si>
  <si>
    <t>4.126,48</t>
  </si>
  <si>
    <t>2.906,99</t>
  </si>
  <si>
    <t>Mensalidade</t>
  </si>
  <si>
    <t>28.000,00</t>
  </si>
  <si>
    <t>28.000</t>
  </si>
  <si>
    <t>Tarifa de Pouso</t>
  </si>
  <si>
    <t>2.872,68</t>
  </si>
  <si>
    <t>1.300,44</t>
  </si>
  <si>
    <t>2.634,89</t>
  </si>
  <si>
    <t>1.217,56</t>
  </si>
  <si>
    <t>1.884,10</t>
  </si>
  <si>
    <t>3.02 Receitas Financeiras</t>
  </si>
  <si>
    <t>Crédito Promoção Pgto de Boletos</t>
  </si>
  <si>
    <t>3.03 Receitas Não Operacionais</t>
  </si>
  <si>
    <t>1.860,00</t>
  </si>
  <si>
    <t>5.447,18</t>
  </si>
  <si>
    <t>2.092,50</t>
  </si>
  <si>
    <t>Estorno de Pagamento</t>
  </si>
  <si>
    <t>1.500,00</t>
  </si>
  <si>
    <t>Recebimento Indevido</t>
  </si>
  <si>
    <t>Total de Pagamentos</t>
  </si>
  <si>
    <t>-50.431,42</t>
  </si>
  <si>
    <t>-100.982,24</t>
  </si>
  <si>
    <t>-56.085,88</t>
  </si>
  <si>
    <t>-68.451,57</t>
  </si>
  <si>
    <t>-48.249,78</t>
  </si>
  <si>
    <t>-87.075,68</t>
  </si>
  <si>
    <t>-62.166,10</t>
  </si>
  <si>
    <t>-79.021,34</t>
  </si>
  <si>
    <t>-60.530,55</t>
  </si>
  <si>
    <t>-95.403,17</t>
  </si>
  <si>
    <t>-66.443,12</t>
  </si>
  <si>
    <t>-66.536,69</t>
  </si>
  <si>
    <t>-66.583,38</t>
  </si>
  <si>
    <t>-57.283,61</t>
  </si>
  <si>
    <t>-113.982,73</t>
  </si>
  <si>
    <t>-92.462,92</t>
  </si>
  <si>
    <t>-94.867,97</t>
  </si>
  <si>
    <t>4.01 Despesas Fixas</t>
  </si>
  <si>
    <t>-16.237,60</t>
  </si>
  <si>
    <t>-35.451,69</t>
  </si>
  <si>
    <t>-16.478,88</t>
  </si>
  <si>
    <t>-8.892,81</t>
  </si>
  <si>
    <t>-18.935,38</t>
  </si>
  <si>
    <t>-29.566,99</t>
  </si>
  <si>
    <t>-9.277,59</t>
  </si>
  <si>
    <t>-29.629,78</t>
  </si>
  <si>
    <t>-10.200,63</t>
  </si>
  <si>
    <t>-31.470,47</t>
  </si>
  <si>
    <t>-38.230,32</t>
  </si>
  <si>
    <t>-41.430,97</t>
  </si>
  <si>
    <t>-31.863,18</t>
  </si>
  <si>
    <t>-30.194,58</t>
  </si>
  <si>
    <t>-9.309,29</t>
  </si>
  <si>
    <t>-43.042,24</t>
  </si>
  <si>
    <t>-51.661,02</t>
  </si>
  <si>
    <t>Despesas Administrativas Fixas</t>
  </si>
  <si>
    <t>-2.061,23</t>
  </si>
  <si>
    <t>-1.873,13</t>
  </si>
  <si>
    <t>-1.924,18</t>
  </si>
  <si>
    <t>-3.657,36</t>
  </si>
  <si>
    <t>-2.117,68</t>
  </si>
  <si>
    <t>-2.123,18</t>
  </si>
  <si>
    <t>-1.943,18</t>
  </si>
  <si>
    <t>-3.886,36</t>
  </si>
  <si>
    <t>Certificado Digital</t>
  </si>
  <si>
    <t>Honorários Contábeis</t>
  </si>
  <si>
    <t>Despesas Operacionais Fixas</t>
  </si>
  <si>
    <t>-11.732,70</t>
  </si>
  <si>
    <t>-12.427,32</t>
  </si>
  <si>
    <t>-11.811,21</t>
  </si>
  <si>
    <t>-11.811,22</t>
  </si>
  <si>
    <t>Seguro do Avião</t>
  </si>
  <si>
    <t>Despesas com Pessoal Fixas</t>
  </si>
  <si>
    <t>-14.176,37</t>
  </si>
  <si>
    <t>-21.845,86</t>
  </si>
  <si>
    <t>-14.605,75</t>
  </si>
  <si>
    <t>-7.019,68</t>
  </si>
  <si>
    <t>-17.062,25</t>
  </si>
  <si>
    <t>-27.077,73</t>
  </si>
  <si>
    <t>-7.404,46</t>
  </si>
  <si>
    <t>-27.140,51</t>
  </si>
  <si>
    <t>-7.711,36</t>
  </si>
  <si>
    <t>-17.118,97</t>
  </si>
  <si>
    <t>-24.494,93</t>
  </si>
  <si>
    <t>-25.962,40</t>
  </si>
  <si>
    <t>-17.934,28</t>
  </si>
  <si>
    <t>-28.071,40</t>
  </si>
  <si>
    <t>-7.366,11</t>
  </si>
  <si>
    <t>-39.155,88</t>
  </si>
  <si>
    <t>13º Salário</t>
  </si>
  <si>
    <t>-7.451,46</t>
  </si>
  <si>
    <t>-6.715,99</t>
  </si>
  <si>
    <t>Contribuição Sindical</t>
  </si>
  <si>
    <t>FGTS</t>
  </si>
  <si>
    <t>INSS + IRRF</t>
  </si>
  <si>
    <t>-2.250,91</t>
  </si>
  <si>
    <t>-2.249,18</t>
  </si>
  <si>
    <t>-2.446,91</t>
  </si>
  <si>
    <t>-2.298,68</t>
  </si>
  <si>
    <t>-2.284,73</t>
  </si>
  <si>
    <t>-2.262,47</t>
  </si>
  <si>
    <t>-2.657,72</t>
  </si>
  <si>
    <t>-2.325,25</t>
  </si>
  <si>
    <t>-2.377,62</t>
  </si>
  <si>
    <t>-2.337,97</t>
  </si>
  <si>
    <t>-4.259,09</t>
  </si>
  <si>
    <t>-2.655,10</t>
  </si>
  <si>
    <t>-2.060,86</t>
  </si>
  <si>
    <t>-2.206,75</t>
  </si>
  <si>
    <t>-2.465,14</t>
  </si>
  <si>
    <t>-4.123,35</t>
  </si>
  <si>
    <t>Rescisões</t>
  </si>
  <si>
    <t>-31.927,26</t>
  </si>
  <si>
    <t>Salários</t>
  </si>
  <si>
    <t>-11.356,04</t>
  </si>
  <si>
    <t>-19.131,28</t>
  </si>
  <si>
    <t>-11.573,44</t>
  </si>
  <si>
    <t>-4.255,60</t>
  </si>
  <si>
    <t>-14.312,12</t>
  </si>
  <si>
    <t>-24.346,38</t>
  </si>
  <si>
    <t>-4.277,86</t>
  </si>
  <si>
    <t>-14.603,98</t>
  </si>
  <si>
    <t>-25.525,57</t>
  </si>
  <si>
    <t>-4.554,39</t>
  </si>
  <si>
    <t>-36.205,77</t>
  </si>
  <si>
    <t>-14.734,00</t>
  </si>
  <si>
    <t>Seguro de Vida</t>
  </si>
  <si>
    <t>Uniformes</t>
  </si>
  <si>
    <t>4.02 Despesas Eventuais</t>
  </si>
  <si>
    <t>-34.019,75</t>
  </si>
  <si>
    <t>-64.263,38</t>
  </si>
  <si>
    <t>-39.607,00</t>
  </si>
  <si>
    <t>-59.558,76</t>
  </si>
  <si>
    <t>-29.314,40</t>
  </si>
  <si>
    <t>-57.508,69</t>
  </si>
  <si>
    <t>-52.888,51</t>
  </si>
  <si>
    <t>-49.391,56</t>
  </si>
  <si>
    <t>-50.325,92</t>
  </si>
  <si>
    <t>-63.932,70</t>
  </si>
  <si>
    <t>-26.398,99</t>
  </si>
  <si>
    <t>-25.073,34</t>
  </si>
  <si>
    <t>-34.716,20</t>
  </si>
  <si>
    <t>-27.089,03</t>
  </si>
  <si>
    <t>-104.673,44</t>
  </si>
  <si>
    <t>-46.680,57</t>
  </si>
  <si>
    <t>-43.206,95</t>
  </si>
  <si>
    <t>Despesas Administrativas Eventuais</t>
  </si>
  <si>
    <t>-1.200,00</t>
  </si>
  <si>
    <t>Alteração contratual</t>
  </si>
  <si>
    <t>Devolução de Pagamento Indevido</t>
  </si>
  <si>
    <t>Despesas Operacionais Eventuais</t>
  </si>
  <si>
    <t>-31.240,40</t>
  </si>
  <si>
    <t>-62.171,06</t>
  </si>
  <si>
    <t>-35.233,18</t>
  </si>
  <si>
    <t>-44.666,87</t>
  </si>
  <si>
    <t>-44.367,55</t>
  </si>
  <si>
    <t>-49.110,95</t>
  </si>
  <si>
    <t>-48.603,35</t>
  </si>
  <si>
    <t>-55.909,56</t>
  </si>
  <si>
    <t>-26.128,99</t>
  </si>
  <si>
    <t>-23.603,34</t>
  </si>
  <si>
    <t>-33.115,24</t>
  </si>
  <si>
    <t>-100.202,59</t>
  </si>
  <si>
    <t>-25.679,26</t>
  </si>
  <si>
    <t>-38.913,76</t>
  </si>
  <si>
    <t>-5.179,30</t>
  </si>
  <si>
    <t>-2.186,05</t>
  </si>
  <si>
    <t>-1.800,00</t>
  </si>
  <si>
    <t>-1.000,00</t>
  </si>
  <si>
    <t>-9.169,28</t>
  </si>
  <si>
    <t>-2.039,54</t>
  </si>
  <si>
    <t>-1.525,61</t>
  </si>
  <si>
    <t>-1.048,84</t>
  </si>
  <si>
    <t>-1.133,69</t>
  </si>
  <si>
    <t>-1.539,53</t>
  </si>
  <si>
    <t>-2.350,85</t>
  </si>
  <si>
    <t>-8.888,09</t>
  </si>
  <si>
    <t>-8.152,16</t>
  </si>
  <si>
    <t>Combustível (D)</t>
  </si>
  <si>
    <t>-16.936,23</t>
  </si>
  <si>
    <t>-19.846,60</t>
  </si>
  <si>
    <t>-21.488,21</t>
  </si>
  <si>
    <t>-33.392,78</t>
  </si>
  <si>
    <t>-17.880,59</t>
  </si>
  <si>
    <t>-28.361,98</t>
  </si>
  <si>
    <t>-25.764,84</t>
  </si>
  <si>
    <t>-37.277,30</t>
  </si>
  <si>
    <t>-38.462,78</t>
  </si>
  <si>
    <t>-10.249,48</t>
  </si>
  <si>
    <t>-17.565,71</t>
  </si>
  <si>
    <t>-12.917,65</t>
  </si>
  <si>
    <t>-27.515,27</t>
  </si>
  <si>
    <t>-18.975,74</t>
  </si>
  <si>
    <t>-31.557,67</t>
  </si>
  <si>
    <t>-17.693,70</t>
  </si>
  <si>
    <t>-21.508,81</t>
  </si>
  <si>
    <t>-1.701,45</t>
  </si>
  <si>
    <t>-1.122,30</t>
  </si>
  <si>
    <t>-2.131,10</t>
  </si>
  <si>
    <t>-2.524,80</t>
  </si>
  <si>
    <t>-1.484,08</t>
  </si>
  <si>
    <t>-1.003,51</t>
  </si>
  <si>
    <t>-1.118,12</t>
  </si>
  <si>
    <t>-3.597,47</t>
  </si>
  <si>
    <t>-2.749,36</t>
  </si>
  <si>
    <t>-1.310,95</t>
  </si>
  <si>
    <t>-1.148,62</t>
  </si>
  <si>
    <t>-1.281,91</t>
  </si>
  <si>
    <t>-1.263,58</t>
  </si>
  <si>
    <t>-1.577,00</t>
  </si>
  <si>
    <t>-1.300,00</t>
  </si>
  <si>
    <t>-2.500,00</t>
  </si>
  <si>
    <t>-3.057,33</t>
  </si>
  <si>
    <t>-2.068,02</t>
  </si>
  <si>
    <t>-3.188,21</t>
  </si>
  <si>
    <t>-3.394,62</t>
  </si>
  <si>
    <t>-2.156,10</t>
  </si>
  <si>
    <t>-3.583,01</t>
  </si>
  <si>
    <t>-4.006,43</t>
  </si>
  <si>
    <t>-1.196,21</t>
  </si>
  <si>
    <t>-3.807,04</t>
  </si>
  <si>
    <t>-2.626,22</t>
  </si>
  <si>
    <t>-3.386,45</t>
  </si>
  <si>
    <t>-2.893,48</t>
  </si>
  <si>
    <t>-3.116,46</t>
  </si>
  <si>
    <t>-3.313,64</t>
  </si>
  <si>
    <t>-1.927,41</t>
  </si>
  <si>
    <t>Manutenção de Aeronave</t>
  </si>
  <si>
    <t>-6.568,00</t>
  </si>
  <si>
    <t>-40.652,95</t>
  </si>
  <si>
    <t>-5.064,45</t>
  </si>
  <si>
    <t>-2.206,00</t>
  </si>
  <si>
    <t>-23.316,75</t>
  </si>
  <si>
    <t>-4.454,00</t>
  </si>
  <si>
    <t>-2.698,80</t>
  </si>
  <si>
    <t>-37.764,43</t>
  </si>
  <si>
    <t>-1.156,00</t>
  </si>
  <si>
    <t>-2.821,99</t>
  </si>
  <si>
    <t>-54.561,20</t>
  </si>
  <si>
    <t>-2.640,49</t>
  </si>
  <si>
    <t>-1.122,79</t>
  </si>
  <si>
    <t>-1.862,42</t>
  </si>
  <si>
    <t>-2.382,92</t>
  </si>
  <si>
    <t>-1.963,80</t>
  </si>
  <si>
    <t>-1.435,34</t>
  </si>
  <si>
    <t>-1.808,79</t>
  </si>
  <si>
    <t>-2.190,41</t>
  </si>
  <si>
    <t>-1.703,13</t>
  </si>
  <si>
    <t>-1.339,34</t>
  </si>
  <si>
    <t>-1.058,01</t>
  </si>
  <si>
    <t>-2.472,57</t>
  </si>
  <si>
    <t>Despesas com Pessoal Eventuais</t>
  </si>
  <si>
    <t>-2.779,35</t>
  </si>
  <si>
    <t>-2.092,32</t>
  </si>
  <si>
    <t>-4.373,82</t>
  </si>
  <si>
    <t>-14.891,89</t>
  </si>
  <si>
    <t>-8.160,96</t>
  </si>
  <si>
    <t>-1.722,57</t>
  </si>
  <si>
    <t>-6.823,14</t>
  </si>
  <si>
    <t>-1.307,22</t>
  </si>
  <si>
    <t>-4.470,85</t>
  </si>
  <si>
    <t>-19.801,31</t>
  </si>
  <si>
    <t>-3.093,19</t>
  </si>
  <si>
    <t>Reembolso Piloto</t>
  </si>
  <si>
    <t>4.03 Despesas Financeiras</t>
  </si>
  <si>
    <t>Tarifas Bancárias</t>
  </si>
  <si>
    <t>4.06 Despesas de Tributos</t>
  </si>
  <si>
    <t>-1.267,17</t>
  </si>
  <si>
    <t>-1.813,81</t>
  </si>
  <si>
    <t>-2.740,11</t>
  </si>
  <si>
    <t>ICMS</t>
  </si>
  <si>
    <t>-1.795,73</t>
  </si>
  <si>
    <t>Taxa de ISS Retido</t>
  </si>
  <si>
    <t>Geração de Caixa do Período</t>
  </si>
  <si>
    <t>28.130,72</t>
  </si>
  <si>
    <t>-64.992,58</t>
  </si>
  <si>
    <t>2.816,86</t>
  </si>
  <si>
    <t>36.881,94</t>
  </si>
  <si>
    <t>30.455,95</t>
  </si>
  <si>
    <t>-1.095,09</t>
  </si>
  <si>
    <t>17.053,30</t>
  </si>
  <si>
    <t>10.188,57</t>
  </si>
  <si>
    <t>63.060,27</t>
  </si>
  <si>
    <t>-41.718,95</t>
  </si>
  <si>
    <t>11.331,39</t>
  </si>
  <si>
    <t>-2.529,34</t>
  </si>
  <si>
    <t>5.488,03</t>
  </si>
  <si>
    <t>28.314,58</t>
  </si>
  <si>
    <t>-37.935,27</t>
  </si>
  <si>
    <t>1.445,03</t>
  </si>
  <si>
    <t>-29.396,15</t>
  </si>
  <si>
    <t>Saldo Final de Caixa</t>
  </si>
  <si>
    <t>202.228,21</t>
  </si>
  <si>
    <t>123.710,98</t>
  </si>
  <si>
    <t>127.333,02</t>
  </si>
  <si>
    <t>165.137,46</t>
  </si>
  <si>
    <t>166.568,01</t>
  </si>
  <si>
    <t>197.658,33</t>
  </si>
  <si>
    <t>217.949,44</t>
  </si>
  <si>
    <t>228.848,24</t>
  </si>
  <si>
    <t>296.337,93</t>
  </si>
  <si>
    <t>254.824,41</t>
  </si>
  <si>
    <t>270.600,31</t>
  </si>
  <si>
    <t>270.802,00</t>
  </si>
  <si>
    <t>278.860,86</t>
  </si>
  <si>
    <t>309.466,12</t>
  </si>
  <si>
    <t>274.591,38</t>
  </si>
  <si>
    <t>274.720,80</t>
  </si>
  <si>
    <t>250.415,41</t>
  </si>
  <si>
    <t>96.019,51</t>
  </si>
  <si>
    <t>96.009,31</t>
  </si>
  <si>
    <t>1.046,98</t>
  </si>
  <si>
    <t>1.133,10</t>
  </si>
  <si>
    <t>62.161,66</t>
  </si>
  <si>
    <t>2.197,68</t>
  </si>
  <si>
    <t>1.469,89</t>
  </si>
  <si>
    <t>-74.590,23</t>
  </si>
  <si>
    <t>-8.379,11</t>
  </si>
  <si>
    <t>-1.007,33</t>
  </si>
  <si>
    <t>-5.428,60</t>
  </si>
  <si>
    <t>-3.201,31</t>
  </si>
  <si>
    <t>-1.692,66</t>
  </si>
  <si>
    <t>-66.211,12</t>
  </si>
  <si>
    <t>-59.299,75</t>
  </si>
  <si>
    <t>-9.513,42</t>
  </si>
  <si>
    <t>-41.544,58</t>
  </si>
  <si>
    <t>-1.133,10</t>
  </si>
  <si>
    <t>-3.339,47</t>
  </si>
  <si>
    <t>-1.269,18</t>
  </si>
  <si>
    <t>-6.748,87</t>
  </si>
  <si>
    <t>21.429,28</t>
  </si>
  <si>
    <t>274.671,72</t>
  </si>
  <si>
    <t>Radiofrequência ANATEL</t>
  </si>
  <si>
    <t>Assinatura de Mapas</t>
  </si>
  <si>
    <t>93.319,96</t>
  </si>
  <si>
    <t>93.312,76</t>
  </si>
  <si>
    <t>10.142,69</t>
  </si>
  <si>
    <t>2.187,46</t>
  </si>
  <si>
    <t>49.653,34</t>
  </si>
  <si>
    <t>3.097,72</t>
  </si>
  <si>
    <t>-156.892,23</t>
  </si>
  <si>
    <t>-24.237,69</t>
  </si>
  <si>
    <t>-21.349,93</t>
  </si>
  <si>
    <t>-2.031,43</t>
  </si>
  <si>
    <t>-18.918,50</t>
  </si>
  <si>
    <t>-132.654,54</t>
  </si>
  <si>
    <t>-128.369,96</t>
  </si>
  <si>
    <t>-3.587,52</t>
  </si>
  <si>
    <t>-21.360,89</t>
  </si>
  <si>
    <t>-2.355,27</t>
  </si>
  <si>
    <t>-67.500,00</t>
  </si>
  <si>
    <t>-1.875,46</t>
  </si>
  <si>
    <t>-29.053,84</t>
  </si>
  <si>
    <t>-2.636,98</t>
  </si>
  <si>
    <t>-4.284,58</t>
  </si>
  <si>
    <t>-63.572,27</t>
  </si>
  <si>
    <t>212.479,95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</si>
</sst>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Display"/>
      <family val="2"/>
      <scheme val="major"/>
    </font>
    <font>
      <b/>
      <sz val="12"/>
      <color theme="0" tint="-4.9989318521683403E-2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sz val="11"/>
      <color theme="1"/>
      <name val="Avenir Next LT Pro"/>
      <family val="2"/>
    </font>
    <font>
      <sz val="12"/>
      <color theme="1"/>
      <name val="Aptos Display"/>
      <family val="2"/>
      <scheme val="major"/>
    </font>
    <font>
      <sz val="11"/>
      <color theme="1"/>
      <name val="Avenir Next LT Pro"/>
      <family val="2"/>
    </font>
    <font>
      <b/>
      <sz val="11"/>
      <color rgb="FFA40000"/>
      <name val="Avenir Next LT Pro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</fills>
  <borders count="14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/>
      <diagonal/>
    </border>
    <border>
      <left style="medium">
        <color theme="1"/>
      </left>
      <right style="thin">
        <color theme="0" tint="-4.9989318521683403E-2"/>
      </right>
      <top style="medium">
        <color theme="1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medium">
        <color theme="1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theme="1"/>
      </right>
      <top style="medium">
        <color theme="1"/>
      </top>
      <bottom style="thin">
        <color theme="0" tint="-4.9989318521683403E-2"/>
      </bottom>
      <diagonal/>
    </border>
    <border>
      <left style="medium">
        <color theme="1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1"/>
      </left>
      <right style="thin">
        <color theme="0" tint="-4.9989318521683403E-2"/>
      </right>
      <top style="thin">
        <color theme="0" tint="-4.9989318521683403E-2"/>
      </top>
      <bottom style="medium">
        <color theme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theme="1"/>
      </bottom>
      <diagonal/>
    </border>
    <border>
      <left style="thin">
        <color theme="0" tint="-4.9989318521683403E-2"/>
      </left>
      <right/>
      <top style="medium">
        <color theme="1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14" fontId="0" fillId="0" borderId="0" xfId="0" applyNumberFormat="1"/>
    <xf numFmtId="43" fontId="0" fillId="0" borderId="0" xfId="1" applyFont="1"/>
    <xf numFmtId="46" fontId="0" fillId="0" borderId="0" xfId="0" applyNumberFormat="1"/>
    <xf numFmtId="17" fontId="3" fillId="3" borderId="1" xfId="0" applyNumberFormat="1" applyFont="1" applyFill="1" applyBorder="1" applyAlignment="1">
      <alignment horizontal="center" vertical="center"/>
    </xf>
    <xf numFmtId="0" fontId="0" fillId="0" borderId="3" xfId="0" applyBorder="1"/>
    <xf numFmtId="0" fontId="2" fillId="2" borderId="4" xfId="0" applyFont="1" applyFill="1" applyBorder="1" applyAlignment="1">
      <alignment vertical="center"/>
    </xf>
    <xf numFmtId="0" fontId="3" fillId="3" borderId="7" xfId="0" applyFont="1" applyFill="1" applyBorder="1"/>
    <xf numFmtId="0" fontId="4" fillId="0" borderId="7" xfId="0" applyFont="1" applyBorder="1"/>
    <xf numFmtId="43" fontId="5" fillId="0" borderId="1" xfId="1" applyFont="1" applyBorder="1" applyAlignment="1">
      <alignment horizontal="right"/>
    </xf>
    <xf numFmtId="0" fontId="4" fillId="4" borderId="7" xfId="0" applyFont="1" applyFill="1" applyBorder="1"/>
    <xf numFmtId="43" fontId="5" fillId="4" borderId="1" xfId="1" applyFont="1" applyFill="1" applyBorder="1" applyAlignment="1">
      <alignment horizontal="right"/>
    </xf>
    <xf numFmtId="0" fontId="6" fillId="0" borderId="7" xfId="0" applyFont="1" applyBorder="1"/>
    <xf numFmtId="43" fontId="7" fillId="0" borderId="1" xfId="1" applyFont="1" applyBorder="1" applyAlignment="1">
      <alignment horizontal="right"/>
    </xf>
    <xf numFmtId="0" fontId="0" fillId="0" borderId="1" xfId="0" applyBorder="1"/>
    <xf numFmtId="43" fontId="7" fillId="5" borderId="1" xfId="1" applyFont="1" applyFill="1" applyBorder="1" applyAlignment="1">
      <alignment horizontal="right"/>
    </xf>
    <xf numFmtId="0" fontId="0" fillId="0" borderId="8" xfId="0" applyBorder="1"/>
    <xf numFmtId="0" fontId="0" fillId="4" borderId="1" xfId="0" applyFill="1" applyBorder="1"/>
    <xf numFmtId="43" fontId="5" fillId="0" borderId="1" xfId="1" applyFont="1" applyFill="1" applyBorder="1" applyAlignment="1">
      <alignment horizontal="right"/>
    </xf>
    <xf numFmtId="43" fontId="8" fillId="6" borderId="1" xfId="1" applyFont="1" applyFill="1" applyBorder="1" applyAlignment="1">
      <alignment horizontal="right"/>
    </xf>
    <xf numFmtId="0" fontId="3" fillId="3" borderId="9" xfId="0" applyFont="1" applyFill="1" applyBorder="1"/>
    <xf numFmtId="43" fontId="5" fillId="0" borderId="10" xfId="1" applyFont="1" applyBorder="1" applyAlignment="1">
      <alignment horizontal="right"/>
    </xf>
    <xf numFmtId="0" fontId="0" fillId="0" borderId="2" xfId="0" applyBorder="1"/>
    <xf numFmtId="17" fontId="3" fillId="3" borderId="12" xfId="0" applyNumberFormat="1" applyFont="1" applyFill="1" applyBorder="1" applyAlignment="1">
      <alignment horizontal="center" vertical="center"/>
    </xf>
    <xf numFmtId="43" fontId="5" fillId="0" borderId="12" xfId="1" applyFont="1" applyBorder="1" applyAlignment="1">
      <alignment horizontal="right"/>
    </xf>
    <xf numFmtId="43" fontId="5" fillId="4" borderId="12" xfId="1" applyFont="1" applyFill="1" applyBorder="1" applyAlignment="1">
      <alignment horizontal="right"/>
    </xf>
    <xf numFmtId="43" fontId="7" fillId="0" borderId="12" xfId="1" applyFont="1" applyBorder="1" applyAlignment="1">
      <alignment horizontal="right"/>
    </xf>
    <xf numFmtId="0" fontId="0" fillId="0" borderId="12" xfId="0" applyBorder="1"/>
    <xf numFmtId="43" fontId="7" fillId="5" borderId="12" xfId="1" applyFont="1" applyFill="1" applyBorder="1" applyAlignment="1">
      <alignment horizontal="right"/>
    </xf>
    <xf numFmtId="0" fontId="0" fillId="4" borderId="12" xfId="0" applyFill="1" applyBorder="1"/>
    <xf numFmtId="43" fontId="8" fillId="6" borderId="12" xfId="1" applyFont="1" applyFill="1" applyBorder="1" applyAlignment="1">
      <alignment horizontal="right"/>
    </xf>
    <xf numFmtId="43" fontId="5" fillId="0" borderId="13" xfId="1" applyFont="1" applyBorder="1" applyAlignment="1">
      <alignment horizontal="right"/>
    </xf>
    <xf numFmtId="0" fontId="2" fillId="2" borderId="5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2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31" formatCode="[h]:mm:ss"/>
    </dxf>
    <dxf>
      <numFmt numFmtId="31" formatCode="[h]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CF3071-88CD-4317-BBD4-A331D4E0BCB3}" name="Tabela1" displayName="Tabela1" ref="A1:N87" totalsRowShown="0">
  <autoFilter ref="A1:N87" xr:uid="{13CF3071-88CD-4317-BBD4-A331D4E0BCB3}"/>
  <tableColumns count="14">
    <tableColumn id="1" xr3:uid="{6C3F0641-073B-4AB8-AC47-D6B967EE32D6}" name="Período" dataDxfId="21"/>
    <tableColumn id="2" xr3:uid="{6BBB7394-1647-44F4-B5FD-9E7F70645951}" name="Receitas Fixas" dataDxfId="20" dataCellStyle="Vírgula"/>
    <tableColumn id="3" xr3:uid="{6351567B-AAD5-458D-83C4-296882B7B4EA}" name="Receitas Variáveis" dataDxfId="19" dataCellStyle="Vírgula"/>
    <tableColumn id="4" xr3:uid="{0AC531E6-5F3F-4597-B8D3-1286AD659A89}" name="Despesas Fixas" dataDxfId="18" dataCellStyle="Vírgula"/>
    <tableColumn id="5" xr3:uid="{1A94668B-6B5C-459C-915F-05028B9FC5F6}" name="Despesas Variáveis" dataDxfId="17" dataCellStyle="Vírgula"/>
    <tableColumn id="6" xr3:uid="{D156C819-05AF-4A60-AA11-58A00A251F57}" name="Receitas Consolidadas" dataDxfId="16" dataCellStyle="Vírgula"/>
    <tableColumn id="7" xr3:uid="{0BDF83EF-7D4D-49A4-AA1A-973485B969E7}" name="Despesas Consolidadas" dataDxfId="15" dataCellStyle="Vírgula"/>
    <tableColumn id="8" xr3:uid="{DDA26083-ACD4-4813-9182-6F238A06A730}" name="Geração do Caixa do Período" dataDxfId="14" dataCellStyle="Vírgula"/>
    <tableColumn id="9" xr3:uid="{494F7EA7-8202-4671-9A9C-F96B17DBC7A0}" name="Saldo Conta Corrente" dataDxfId="13" dataCellStyle="Vírgula"/>
    <tableColumn id="10" xr3:uid="{5957A9FD-1181-4478-A50B-9D182C596B7A}" name="Saldo Contas de Aplicação" dataDxfId="12" dataCellStyle="Vírgula"/>
    <tableColumn id="11" xr3:uid="{5ABDA88B-D373-4DA8-AE9C-D8962ECBFEF6}" name="Saldo Total Das Contas" dataDxfId="11" dataCellStyle="Vírgula"/>
    <tableColumn id="12" xr3:uid="{3D04213A-CEE1-4BF0-9F52-1EB9C03180E2}" name="Total de Horas" dataDxfId="10"/>
    <tableColumn id="13" xr3:uid="{391341A1-5CF6-46BD-A3BD-586A1AED7EC0}" name="Socios"/>
    <tableColumn id="14" xr3:uid="{254408E5-D1C5-430A-B649-F614EAE85C70}" name="Horas de Voos" dataDxfId="9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D55EC-DA9F-4C69-946B-5012EDBA0186}">
  <dimension ref="A1:N87"/>
  <sheetViews>
    <sheetView showGridLines="0" tabSelected="1" topLeftCell="G65" workbookViewId="0">
      <selection activeCell="Q83" sqref="Q83"/>
    </sheetView>
  </sheetViews>
  <sheetFormatPr defaultRowHeight="15" x14ac:dyDescent="0.25"/>
  <cols>
    <col min="1" max="1" width="10.42578125" bestFit="1" customWidth="1"/>
    <col min="2" max="2" width="15.5703125" customWidth="1"/>
    <col min="3" max="3" width="19.140625" customWidth="1"/>
    <col min="4" max="4" width="16.7109375" customWidth="1"/>
    <col min="5" max="5" width="20.28515625" customWidth="1"/>
    <col min="6" max="6" width="23.28515625" customWidth="1"/>
    <col min="7" max="7" width="24.42578125" customWidth="1"/>
    <col min="8" max="8" width="28.5703125" customWidth="1"/>
    <col min="9" max="9" width="21.5703125" customWidth="1"/>
    <col min="10" max="10" width="26.5703125" customWidth="1"/>
    <col min="11" max="11" width="23.42578125" customWidth="1"/>
    <col min="12" max="12" width="15.85546875" customWidth="1"/>
    <col min="13" max="13" width="17.28515625" customWidth="1"/>
    <col min="14" max="14" width="16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45658</v>
      </c>
      <c r="B2" s="2">
        <v>28000</v>
      </c>
      <c r="C2" s="2">
        <v>50556.14</v>
      </c>
      <c r="D2" s="2">
        <v>16049.5</v>
      </c>
      <c r="E2" s="2">
        <v>34381.919999999998</v>
      </c>
      <c r="F2" s="2">
        <v>78556.14</v>
      </c>
      <c r="G2" s="2">
        <v>50431.42</v>
      </c>
      <c r="H2" s="2">
        <v>28130.42</v>
      </c>
      <c r="I2" s="2">
        <v>15889.92</v>
      </c>
      <c r="J2" s="2">
        <v>186338.29</v>
      </c>
      <c r="K2" s="2">
        <v>202228.21</v>
      </c>
      <c r="L2" s="3">
        <v>0.2</v>
      </c>
      <c r="M2" t="s">
        <v>14</v>
      </c>
      <c r="N2" s="3">
        <v>0.12638888888888888</v>
      </c>
    </row>
    <row r="3" spans="1:14" x14ac:dyDescent="0.25">
      <c r="A3" s="1">
        <v>45658</v>
      </c>
      <c r="B3" s="2">
        <v>28000</v>
      </c>
      <c r="C3" s="2">
        <v>50556.14</v>
      </c>
      <c r="D3" s="2">
        <v>16049.5</v>
      </c>
      <c r="E3" s="2">
        <v>34381.919999999998</v>
      </c>
      <c r="F3" s="2">
        <v>78556.14</v>
      </c>
      <c r="G3" s="2">
        <v>50431.42</v>
      </c>
      <c r="H3" s="2">
        <v>28130.42</v>
      </c>
      <c r="I3" s="2">
        <v>15889.92</v>
      </c>
      <c r="J3" s="2">
        <v>186338.29</v>
      </c>
      <c r="K3" s="2">
        <v>202228.21</v>
      </c>
      <c r="L3" s="3">
        <v>0.2</v>
      </c>
      <c r="M3" t="s">
        <v>15</v>
      </c>
      <c r="N3" s="3">
        <v>7.3611111111111113E-2</v>
      </c>
    </row>
    <row r="4" spans="1:14" x14ac:dyDescent="0.25">
      <c r="A4" s="1">
        <v>45689</v>
      </c>
      <c r="B4" s="2">
        <v>28000</v>
      </c>
      <c r="C4" s="2">
        <v>7984.86</v>
      </c>
      <c r="D4" s="2">
        <v>23718.99</v>
      </c>
      <c r="E4" s="2">
        <v>77263.28</v>
      </c>
      <c r="F4" s="2">
        <v>35984.86</v>
      </c>
      <c r="G4" s="2">
        <v>100982.27</v>
      </c>
      <c r="H4" s="2">
        <v>-64992.58</v>
      </c>
      <c r="I4" s="2">
        <v>11697.32</v>
      </c>
      <c r="J4" s="2">
        <v>112013.66</v>
      </c>
      <c r="K4" s="2">
        <v>123710.98</v>
      </c>
      <c r="L4" s="3">
        <v>0.72986111111111118</v>
      </c>
      <c r="M4" t="s">
        <v>16</v>
      </c>
      <c r="N4" s="3">
        <v>0.36875000000000002</v>
      </c>
    </row>
    <row r="5" spans="1:14" x14ac:dyDescent="0.25">
      <c r="A5" s="1">
        <v>45689</v>
      </c>
      <c r="B5" s="2">
        <v>28000</v>
      </c>
      <c r="C5" s="2">
        <v>7984.86</v>
      </c>
      <c r="D5" s="2">
        <v>23718.99</v>
      </c>
      <c r="E5" s="2">
        <v>77263.28</v>
      </c>
      <c r="F5" s="2">
        <v>35984.86</v>
      </c>
      <c r="G5" s="2">
        <v>100982.27</v>
      </c>
      <c r="H5" s="2">
        <v>-64992.58</v>
      </c>
      <c r="I5" s="2">
        <v>11697.32</v>
      </c>
      <c r="J5" s="2">
        <v>112013.66</v>
      </c>
      <c r="K5" s="2">
        <v>123710.98</v>
      </c>
      <c r="L5" s="3">
        <v>0.72986111111111118</v>
      </c>
      <c r="M5" t="s">
        <v>14</v>
      </c>
      <c r="N5" s="3">
        <v>0.14722222222222223</v>
      </c>
    </row>
    <row r="6" spans="1:14" x14ac:dyDescent="0.25">
      <c r="A6" s="1">
        <v>45689</v>
      </c>
      <c r="B6" s="2">
        <v>28000</v>
      </c>
      <c r="C6" s="2">
        <v>7984.86</v>
      </c>
      <c r="D6" s="2">
        <v>23718.99</v>
      </c>
      <c r="E6" s="2">
        <v>77263.28</v>
      </c>
      <c r="F6" s="2">
        <v>35984.86</v>
      </c>
      <c r="G6" s="2">
        <v>100982.27</v>
      </c>
      <c r="H6" s="2">
        <v>-64992.58</v>
      </c>
      <c r="I6" s="2">
        <v>11697.32</v>
      </c>
      <c r="J6" s="2">
        <v>112013.66</v>
      </c>
      <c r="K6" s="2">
        <v>123710.98</v>
      </c>
      <c r="L6" s="3">
        <v>0.72986111111111118</v>
      </c>
      <c r="M6" t="s">
        <v>17</v>
      </c>
      <c r="N6" s="3">
        <v>7.8472222222222221E-2</v>
      </c>
    </row>
    <row r="7" spans="1:14" x14ac:dyDescent="0.25">
      <c r="A7" s="1">
        <v>45689</v>
      </c>
      <c r="B7" s="2">
        <v>28000</v>
      </c>
      <c r="C7" s="2">
        <v>7984.86</v>
      </c>
      <c r="D7" s="2">
        <v>23718.99</v>
      </c>
      <c r="E7" s="2">
        <v>77263.28</v>
      </c>
      <c r="F7" s="2">
        <v>35984.86</v>
      </c>
      <c r="G7" s="2">
        <v>100982.27</v>
      </c>
      <c r="H7" s="2">
        <v>-64992.58</v>
      </c>
      <c r="I7" s="2">
        <v>11697.32</v>
      </c>
      <c r="J7" s="2">
        <v>112013.66</v>
      </c>
      <c r="K7" s="2">
        <v>123710.98</v>
      </c>
      <c r="L7" s="3">
        <v>0.72986111111111118</v>
      </c>
      <c r="M7" t="s">
        <v>15</v>
      </c>
      <c r="N7" s="3">
        <v>0.13541666666666666</v>
      </c>
    </row>
    <row r="8" spans="1:14" x14ac:dyDescent="0.25">
      <c r="A8" s="1">
        <v>45717</v>
      </c>
      <c r="B8" s="2">
        <v>28000</v>
      </c>
      <c r="C8" s="2">
        <v>30897.040000000001</v>
      </c>
      <c r="D8" s="2">
        <v>16358.88</v>
      </c>
      <c r="E8" s="2">
        <v>39727</v>
      </c>
      <c r="F8" s="2">
        <v>58897.04</v>
      </c>
      <c r="G8" s="2">
        <v>56085.88</v>
      </c>
      <c r="H8" s="2">
        <v>2816.86</v>
      </c>
      <c r="I8" s="2">
        <v>20550</v>
      </c>
      <c r="J8" s="2">
        <v>106783.02</v>
      </c>
      <c r="K8" s="2">
        <v>127333.02</v>
      </c>
      <c r="L8" s="3">
        <v>1.5444444444444445</v>
      </c>
      <c r="M8" t="s">
        <v>18</v>
      </c>
      <c r="N8" s="3">
        <v>0.21111111111111111</v>
      </c>
    </row>
    <row r="9" spans="1:14" x14ac:dyDescent="0.25">
      <c r="A9" s="1">
        <v>45717</v>
      </c>
      <c r="B9" s="2">
        <v>28000</v>
      </c>
      <c r="C9" s="2">
        <v>30897.040000000001</v>
      </c>
      <c r="D9" s="2">
        <v>16358.88</v>
      </c>
      <c r="E9" s="2">
        <v>39727</v>
      </c>
      <c r="F9" s="2">
        <v>58897.04</v>
      </c>
      <c r="G9" s="2">
        <v>56085.88</v>
      </c>
      <c r="H9" s="2">
        <v>2816.86</v>
      </c>
      <c r="I9" s="2">
        <v>20550</v>
      </c>
      <c r="J9" s="2">
        <v>106783.02</v>
      </c>
      <c r="K9" s="2">
        <v>127333.02</v>
      </c>
      <c r="L9" s="3">
        <v>1.5444444444444445</v>
      </c>
      <c r="M9" t="s">
        <v>16</v>
      </c>
      <c r="N9" s="3">
        <v>0.34166666666666667</v>
      </c>
    </row>
    <row r="10" spans="1:14" x14ac:dyDescent="0.25">
      <c r="A10" s="1">
        <v>45717</v>
      </c>
      <c r="B10" s="2">
        <v>28000</v>
      </c>
      <c r="C10" s="2">
        <v>30897.040000000001</v>
      </c>
      <c r="D10" s="2">
        <v>16358.88</v>
      </c>
      <c r="E10" s="2">
        <v>39727</v>
      </c>
      <c r="F10" s="2">
        <v>58897.04</v>
      </c>
      <c r="G10" s="2">
        <v>56085.88</v>
      </c>
      <c r="H10" s="2">
        <v>2816.86</v>
      </c>
      <c r="I10" s="2">
        <v>20550</v>
      </c>
      <c r="J10" s="2">
        <v>106783.02</v>
      </c>
      <c r="K10" s="2">
        <v>127333.02</v>
      </c>
      <c r="L10" s="3">
        <v>1.5444444444444445</v>
      </c>
      <c r="M10" t="s">
        <v>14</v>
      </c>
      <c r="N10" s="3">
        <v>2.7083333333333334E-2</v>
      </c>
    </row>
    <row r="11" spans="1:14" x14ac:dyDescent="0.25">
      <c r="A11" s="1">
        <v>45717</v>
      </c>
      <c r="B11" s="2">
        <v>28000</v>
      </c>
      <c r="C11" s="2">
        <v>30897.040000000001</v>
      </c>
      <c r="D11" s="2">
        <v>16358.88</v>
      </c>
      <c r="E11" s="2">
        <v>39727</v>
      </c>
      <c r="F11" s="2">
        <v>58897.04</v>
      </c>
      <c r="G11" s="2">
        <v>56085.88</v>
      </c>
      <c r="H11" s="2">
        <v>2816.86</v>
      </c>
      <c r="I11" s="2">
        <v>20550</v>
      </c>
      <c r="J11" s="2">
        <v>106783.02</v>
      </c>
      <c r="K11" s="2">
        <v>127333.02</v>
      </c>
      <c r="L11" s="3">
        <v>1.5444444444444445</v>
      </c>
      <c r="M11" t="s">
        <v>17</v>
      </c>
      <c r="N11" s="3">
        <v>0.39027777777777778</v>
      </c>
    </row>
    <row r="12" spans="1:14" x14ac:dyDescent="0.25">
      <c r="A12" s="1">
        <v>45717</v>
      </c>
      <c r="B12" s="2">
        <v>28000</v>
      </c>
      <c r="C12" s="2">
        <v>30897.040000000001</v>
      </c>
      <c r="D12" s="2">
        <v>16358.88</v>
      </c>
      <c r="E12" s="2">
        <v>39727</v>
      </c>
      <c r="F12" s="2">
        <v>58897.04</v>
      </c>
      <c r="G12" s="2">
        <v>56085.88</v>
      </c>
      <c r="H12" s="2">
        <v>2816.86</v>
      </c>
      <c r="I12" s="2">
        <v>20550</v>
      </c>
      <c r="J12" s="2">
        <v>106783.02</v>
      </c>
      <c r="K12" s="2">
        <v>127333.02</v>
      </c>
      <c r="L12" s="3">
        <v>1.5444444444444445</v>
      </c>
      <c r="M12" t="s">
        <v>19</v>
      </c>
      <c r="N12" s="3">
        <v>0.14652777777777778</v>
      </c>
    </row>
    <row r="13" spans="1:14" x14ac:dyDescent="0.25">
      <c r="A13" s="1">
        <v>45717</v>
      </c>
      <c r="B13" s="2">
        <v>28000</v>
      </c>
      <c r="C13" s="2">
        <v>30897.040000000001</v>
      </c>
      <c r="D13" s="2">
        <v>16358.88</v>
      </c>
      <c r="E13" s="2">
        <v>39727</v>
      </c>
      <c r="F13" s="2">
        <v>58897.04</v>
      </c>
      <c r="G13" s="2">
        <v>56085.88</v>
      </c>
      <c r="H13" s="2">
        <v>2816.86</v>
      </c>
      <c r="I13" s="2">
        <v>20550</v>
      </c>
      <c r="J13" s="2">
        <v>106783.02</v>
      </c>
      <c r="K13" s="2">
        <v>127333.02</v>
      </c>
      <c r="L13" s="3">
        <v>1.5444444444444445</v>
      </c>
      <c r="M13" t="s">
        <v>15</v>
      </c>
      <c r="N13" s="3">
        <v>0.42777777777777776</v>
      </c>
    </row>
    <row r="14" spans="1:14" x14ac:dyDescent="0.25">
      <c r="A14" s="1">
        <v>45748</v>
      </c>
      <c r="B14" s="2">
        <v>28000</v>
      </c>
      <c r="C14" s="2">
        <v>77327.509999999995</v>
      </c>
      <c r="D14" s="2">
        <v>8892.81</v>
      </c>
      <c r="E14" s="2">
        <v>59528.959999999999</v>
      </c>
      <c r="F14" s="2">
        <v>105327.51</v>
      </c>
      <c r="G14" s="2">
        <v>68421.77</v>
      </c>
      <c r="H14" s="2">
        <v>36881.64</v>
      </c>
      <c r="I14" s="2">
        <v>3509.31</v>
      </c>
      <c r="J14" s="2">
        <v>161628.15</v>
      </c>
      <c r="K14" s="2">
        <v>165137.46</v>
      </c>
      <c r="L14" s="3">
        <v>0.94861111111111107</v>
      </c>
      <c r="M14" t="s">
        <v>20</v>
      </c>
      <c r="N14" s="3">
        <v>0.10347222222222222</v>
      </c>
    </row>
    <row r="15" spans="1:14" x14ac:dyDescent="0.25">
      <c r="A15" s="1">
        <v>45748</v>
      </c>
      <c r="B15" s="2">
        <v>28000</v>
      </c>
      <c r="C15" s="2">
        <v>77327.509999999995</v>
      </c>
      <c r="D15" s="2">
        <v>8892.81</v>
      </c>
      <c r="E15" s="2">
        <v>59528.959999999999</v>
      </c>
      <c r="F15" s="2">
        <v>105327.51</v>
      </c>
      <c r="G15" s="2">
        <v>68421.77</v>
      </c>
      <c r="H15" s="2">
        <v>36881.64</v>
      </c>
      <c r="I15" s="2">
        <v>3509.31</v>
      </c>
      <c r="J15" s="2">
        <v>161628.15</v>
      </c>
      <c r="K15" s="2">
        <v>165137.46</v>
      </c>
      <c r="L15" s="3">
        <v>0.94861111111111107</v>
      </c>
      <c r="M15" t="s">
        <v>14</v>
      </c>
      <c r="N15" s="3">
        <v>2.6388888888888889E-2</v>
      </c>
    </row>
    <row r="16" spans="1:14" x14ac:dyDescent="0.25">
      <c r="A16" s="1">
        <v>45748</v>
      </c>
      <c r="B16" s="2">
        <v>28000</v>
      </c>
      <c r="C16" s="2">
        <v>77327.509999999995</v>
      </c>
      <c r="D16" s="2">
        <v>8892.81</v>
      </c>
      <c r="E16" s="2">
        <v>59528.959999999999</v>
      </c>
      <c r="F16" s="2">
        <v>105327.51</v>
      </c>
      <c r="G16" s="2">
        <v>68421.77</v>
      </c>
      <c r="H16" s="2">
        <v>36881.64</v>
      </c>
      <c r="I16" s="2">
        <v>3509.31</v>
      </c>
      <c r="J16" s="2">
        <v>161628.15</v>
      </c>
      <c r="K16" s="2">
        <v>165137.46</v>
      </c>
      <c r="L16" s="3">
        <v>0.94861111111111107</v>
      </c>
      <c r="M16" t="s">
        <v>21</v>
      </c>
      <c r="N16" s="3">
        <v>6.805555555555555E-2</v>
      </c>
    </row>
    <row r="17" spans="1:14" x14ac:dyDescent="0.25">
      <c r="A17" s="1">
        <v>45748</v>
      </c>
      <c r="B17" s="2">
        <v>28000</v>
      </c>
      <c r="C17" s="2">
        <v>77327.509999999995</v>
      </c>
      <c r="D17" s="2">
        <v>8892.81</v>
      </c>
      <c r="E17" s="2">
        <v>59528.959999999999</v>
      </c>
      <c r="F17" s="2">
        <v>105327.51</v>
      </c>
      <c r="G17" s="2">
        <v>68421.77</v>
      </c>
      <c r="H17" s="2">
        <v>36881.64</v>
      </c>
      <c r="I17" s="2">
        <v>3509.31</v>
      </c>
      <c r="J17" s="2">
        <v>161628.15</v>
      </c>
      <c r="K17" s="2">
        <v>165137.46</v>
      </c>
      <c r="L17" s="3">
        <v>0.94861111111111107</v>
      </c>
      <c r="M17" t="s">
        <v>17</v>
      </c>
      <c r="N17" s="3">
        <v>0.22291666666666668</v>
      </c>
    </row>
    <row r="18" spans="1:14" x14ac:dyDescent="0.25">
      <c r="A18" s="1">
        <v>45748</v>
      </c>
      <c r="B18" s="2">
        <v>28000</v>
      </c>
      <c r="C18" s="2">
        <v>77327.509999999995</v>
      </c>
      <c r="D18" s="2">
        <v>8892.81</v>
      </c>
      <c r="E18" s="2">
        <v>59528.959999999999</v>
      </c>
      <c r="F18" s="2">
        <v>105327.51</v>
      </c>
      <c r="G18" s="2">
        <v>68421.77</v>
      </c>
      <c r="H18" s="2">
        <v>36881.64</v>
      </c>
      <c r="I18" s="2">
        <v>3509.31</v>
      </c>
      <c r="J18" s="2">
        <v>161628.15</v>
      </c>
      <c r="K18" s="2">
        <v>165137.46</v>
      </c>
      <c r="L18" s="3">
        <v>0.94861111111111107</v>
      </c>
      <c r="M18" t="s">
        <v>19</v>
      </c>
      <c r="N18" s="3">
        <v>0.15486111111111112</v>
      </c>
    </row>
    <row r="19" spans="1:14" x14ac:dyDescent="0.25">
      <c r="A19" s="1">
        <v>45748</v>
      </c>
      <c r="B19" s="2">
        <v>28000</v>
      </c>
      <c r="C19" s="2">
        <v>77327.509999999995</v>
      </c>
      <c r="D19" s="2">
        <v>8892.81</v>
      </c>
      <c r="E19" s="2">
        <v>59528.959999999999</v>
      </c>
      <c r="F19" s="2">
        <v>105327.51</v>
      </c>
      <c r="G19" s="2">
        <v>68421.77</v>
      </c>
      <c r="H19" s="2">
        <v>36881.64</v>
      </c>
      <c r="I19" s="2">
        <v>3509.31</v>
      </c>
      <c r="J19" s="2">
        <v>161628.15</v>
      </c>
      <c r="K19" s="2">
        <v>165137.46</v>
      </c>
      <c r="L19" s="3">
        <v>0.94861111111111107</v>
      </c>
      <c r="M19" t="s">
        <v>15</v>
      </c>
      <c r="N19" s="3">
        <v>0.37291666666666667</v>
      </c>
    </row>
    <row r="20" spans="1:14" x14ac:dyDescent="0.25">
      <c r="A20" s="1">
        <v>45778</v>
      </c>
      <c r="B20" s="2">
        <v>28000</v>
      </c>
      <c r="C20" s="2">
        <v>50699.13</v>
      </c>
      <c r="D20" s="2">
        <v>18935.38</v>
      </c>
      <c r="E20" s="2">
        <v>29314.400000000001</v>
      </c>
      <c r="F20" s="2">
        <v>78699.13</v>
      </c>
      <c r="G20" s="2">
        <v>48249.78</v>
      </c>
      <c r="H20" s="2">
        <v>30455.95</v>
      </c>
      <c r="I20" s="2">
        <v>2014.59</v>
      </c>
      <c r="J20" s="2">
        <v>164553.42000000001</v>
      </c>
      <c r="K20" s="2">
        <v>166568.01</v>
      </c>
      <c r="L20" s="3">
        <v>1.0902777777777777</v>
      </c>
      <c r="M20" t="s">
        <v>20</v>
      </c>
      <c r="N20" s="3">
        <v>0.29930555555555555</v>
      </c>
    </row>
    <row r="21" spans="1:14" x14ac:dyDescent="0.25">
      <c r="A21" s="1">
        <v>45778</v>
      </c>
      <c r="B21" s="2">
        <v>28000</v>
      </c>
      <c r="C21" s="2">
        <v>50699.13</v>
      </c>
      <c r="D21" s="2">
        <v>18935.38</v>
      </c>
      <c r="E21" s="2">
        <v>29314.400000000001</v>
      </c>
      <c r="F21" s="2">
        <v>78699.13</v>
      </c>
      <c r="G21" s="2">
        <v>48249.78</v>
      </c>
      <c r="H21" s="2">
        <v>30455.95</v>
      </c>
      <c r="I21" s="2">
        <v>2014.59</v>
      </c>
      <c r="J21" s="2">
        <v>164553.42000000001</v>
      </c>
      <c r="K21" s="2">
        <v>166568.01</v>
      </c>
      <c r="L21" s="3">
        <v>1.0902777777777777</v>
      </c>
      <c r="M21" t="s">
        <v>16</v>
      </c>
      <c r="N21" s="3">
        <v>0.16388888888888889</v>
      </c>
    </row>
    <row r="22" spans="1:14" x14ac:dyDescent="0.25">
      <c r="A22" s="1">
        <v>45778</v>
      </c>
      <c r="B22" s="2">
        <v>28000</v>
      </c>
      <c r="C22" s="2">
        <v>50699.13</v>
      </c>
      <c r="D22" s="2">
        <v>18935.38</v>
      </c>
      <c r="E22" s="2">
        <v>29314.400000000001</v>
      </c>
      <c r="F22" s="2">
        <v>78699.13</v>
      </c>
      <c r="G22" s="2">
        <v>48249.78</v>
      </c>
      <c r="H22" s="2">
        <v>30455.95</v>
      </c>
      <c r="I22" s="2">
        <v>2014.59</v>
      </c>
      <c r="J22" s="2">
        <v>164553.42000000001</v>
      </c>
      <c r="K22" s="2">
        <v>166568.01</v>
      </c>
      <c r="L22" s="3">
        <v>1.0902777777777777</v>
      </c>
      <c r="M22" t="s">
        <v>17</v>
      </c>
      <c r="N22" s="3">
        <v>0.375</v>
      </c>
    </row>
    <row r="23" spans="1:14" x14ac:dyDescent="0.25">
      <c r="A23" s="1">
        <v>45778</v>
      </c>
      <c r="B23" s="2">
        <v>28000</v>
      </c>
      <c r="C23" s="2">
        <v>50699.13</v>
      </c>
      <c r="D23" s="2">
        <v>18935.38</v>
      </c>
      <c r="E23" s="2">
        <v>29314.400000000001</v>
      </c>
      <c r="F23" s="2">
        <v>78699.13</v>
      </c>
      <c r="G23" s="2">
        <v>48249.78</v>
      </c>
      <c r="H23" s="2">
        <v>30455.95</v>
      </c>
      <c r="I23" s="2">
        <v>2014.59</v>
      </c>
      <c r="J23" s="2">
        <v>164553.42000000001</v>
      </c>
      <c r="K23" s="2">
        <v>166568.01</v>
      </c>
      <c r="L23" s="3">
        <v>1.0902777777777777</v>
      </c>
      <c r="M23" t="s">
        <v>15</v>
      </c>
      <c r="N23" s="3">
        <v>0.25208333333333333</v>
      </c>
    </row>
    <row r="24" spans="1:14" x14ac:dyDescent="0.25">
      <c r="A24" s="1">
        <v>45809</v>
      </c>
      <c r="B24" s="2">
        <v>28000</v>
      </c>
      <c r="C24" s="2">
        <v>57975.49</v>
      </c>
      <c r="D24" s="2">
        <v>28950.86</v>
      </c>
      <c r="E24" s="2">
        <v>57946.239999999998</v>
      </c>
      <c r="F24" s="2">
        <v>85975.49</v>
      </c>
      <c r="G24" s="2">
        <v>86897.1</v>
      </c>
      <c r="H24" s="2">
        <v>-1095.0899999999999</v>
      </c>
      <c r="I24" s="2">
        <v>31552.7</v>
      </c>
      <c r="J24" s="2">
        <v>166105.63</v>
      </c>
      <c r="K24" s="2">
        <v>197658.33</v>
      </c>
      <c r="L24" s="3">
        <v>1.1819444444444445</v>
      </c>
      <c r="M24" t="s">
        <v>20</v>
      </c>
      <c r="N24" s="3">
        <v>7.9861111111111105E-2</v>
      </c>
    </row>
    <row r="25" spans="1:14" x14ac:dyDescent="0.25">
      <c r="A25" s="1">
        <v>45809</v>
      </c>
      <c r="B25" s="2">
        <v>28000</v>
      </c>
      <c r="C25" s="2">
        <v>57975.49</v>
      </c>
      <c r="D25" s="2">
        <v>28950.86</v>
      </c>
      <c r="E25" s="2">
        <v>57946.239999999998</v>
      </c>
      <c r="F25" s="2">
        <v>85975.49</v>
      </c>
      <c r="G25" s="2">
        <v>86897.1</v>
      </c>
      <c r="H25" s="2">
        <v>-1095.0899999999999</v>
      </c>
      <c r="I25" s="2">
        <v>31552.7</v>
      </c>
      <c r="J25" s="2">
        <v>166105.63</v>
      </c>
      <c r="K25" s="2">
        <v>197658.33</v>
      </c>
      <c r="L25" s="3">
        <v>1.1819444444444445</v>
      </c>
      <c r="M25" t="s">
        <v>22</v>
      </c>
      <c r="N25" s="3">
        <v>0.28333333333333333</v>
      </c>
    </row>
    <row r="26" spans="1:14" x14ac:dyDescent="0.25">
      <c r="A26" s="1">
        <v>45809</v>
      </c>
      <c r="B26" s="2">
        <v>28000</v>
      </c>
      <c r="C26" s="2">
        <v>57975.49</v>
      </c>
      <c r="D26" s="2">
        <v>28950.86</v>
      </c>
      <c r="E26" s="2">
        <v>57946.239999999998</v>
      </c>
      <c r="F26" s="2">
        <v>85975.49</v>
      </c>
      <c r="G26" s="2">
        <v>86897.1</v>
      </c>
      <c r="H26" s="2">
        <v>-1095.0899999999999</v>
      </c>
      <c r="I26" s="2">
        <v>31552.7</v>
      </c>
      <c r="J26" s="2">
        <v>166105.63</v>
      </c>
      <c r="K26" s="2">
        <v>197658.33</v>
      </c>
      <c r="L26" s="3">
        <v>1.1819444444444445</v>
      </c>
      <c r="M26" t="s">
        <v>14</v>
      </c>
      <c r="N26" s="3">
        <v>0.27013888888888887</v>
      </c>
    </row>
    <row r="27" spans="1:14" x14ac:dyDescent="0.25">
      <c r="A27" s="1">
        <v>45809</v>
      </c>
      <c r="B27" s="2">
        <v>28000</v>
      </c>
      <c r="C27" s="2">
        <v>57975.49</v>
      </c>
      <c r="D27" s="2">
        <v>28950.86</v>
      </c>
      <c r="E27" s="2">
        <v>57946.239999999998</v>
      </c>
      <c r="F27" s="2">
        <v>85975.49</v>
      </c>
      <c r="G27" s="2">
        <v>86897.1</v>
      </c>
      <c r="H27" s="2">
        <v>-1095.0899999999999</v>
      </c>
      <c r="I27" s="2">
        <v>31552.7</v>
      </c>
      <c r="J27" s="2">
        <v>166105.63</v>
      </c>
      <c r="K27" s="2">
        <v>197658.33</v>
      </c>
      <c r="L27" s="3">
        <v>1.1819444444444445</v>
      </c>
      <c r="M27" t="s">
        <v>17</v>
      </c>
      <c r="N27" s="3">
        <v>0.2902777777777778</v>
      </c>
    </row>
    <row r="28" spans="1:14" x14ac:dyDescent="0.25">
      <c r="A28" s="1">
        <v>45809</v>
      </c>
      <c r="B28" s="2">
        <v>28000</v>
      </c>
      <c r="C28" s="2">
        <v>57975.49</v>
      </c>
      <c r="D28" s="2">
        <v>28950.86</v>
      </c>
      <c r="E28" s="2">
        <v>57946.239999999998</v>
      </c>
      <c r="F28" s="2">
        <v>85975.49</v>
      </c>
      <c r="G28" s="2">
        <v>86897.1</v>
      </c>
      <c r="H28" s="2">
        <v>-1095.0899999999999</v>
      </c>
      <c r="I28" s="2">
        <v>31552.7</v>
      </c>
      <c r="J28" s="2">
        <v>166105.63</v>
      </c>
      <c r="K28" s="2">
        <v>197658.33</v>
      </c>
      <c r="L28" s="3">
        <v>1.1819444444444445</v>
      </c>
      <c r="M28" t="s">
        <v>15</v>
      </c>
      <c r="N28" s="3">
        <v>0.25833333333333336</v>
      </c>
    </row>
    <row r="29" spans="1:14" x14ac:dyDescent="0.25">
      <c r="A29" s="1">
        <v>45839</v>
      </c>
      <c r="B29" s="2">
        <v>28000</v>
      </c>
      <c r="C29" s="2">
        <v>51219.4</v>
      </c>
      <c r="D29" s="2">
        <v>9277.59</v>
      </c>
      <c r="E29" s="2">
        <v>52888.51</v>
      </c>
      <c r="F29" s="2">
        <v>79219.399999999994</v>
      </c>
      <c r="G29" s="2">
        <v>62166.1</v>
      </c>
      <c r="H29" s="2">
        <v>17053.3</v>
      </c>
      <c r="I29" s="2">
        <v>24987.69</v>
      </c>
      <c r="J29" s="2">
        <v>192961.75</v>
      </c>
      <c r="K29" s="2">
        <v>217949.44</v>
      </c>
      <c r="L29" s="3">
        <v>1.1645833333333333</v>
      </c>
      <c r="M29" t="s">
        <v>20</v>
      </c>
      <c r="N29" s="3">
        <v>8.9583333333333334E-2</v>
      </c>
    </row>
    <row r="30" spans="1:14" x14ac:dyDescent="0.25">
      <c r="A30" s="1">
        <v>45839</v>
      </c>
      <c r="B30" s="2">
        <v>28000</v>
      </c>
      <c r="C30" s="2">
        <v>51219.4</v>
      </c>
      <c r="D30" s="2">
        <v>9277.59</v>
      </c>
      <c r="E30" s="2">
        <v>52888.51</v>
      </c>
      <c r="F30" s="2">
        <v>79219.399999999994</v>
      </c>
      <c r="G30" s="2">
        <v>62166.1</v>
      </c>
      <c r="H30" s="2">
        <v>17053.3</v>
      </c>
      <c r="I30" s="2">
        <v>24987.69</v>
      </c>
      <c r="J30" s="2">
        <v>192961.75</v>
      </c>
      <c r="K30" s="2">
        <v>217949.44</v>
      </c>
      <c r="L30" s="3">
        <v>1.1645833333333333</v>
      </c>
      <c r="M30" t="s">
        <v>16</v>
      </c>
      <c r="N30" s="3">
        <v>0.13958333333333334</v>
      </c>
    </row>
    <row r="31" spans="1:14" x14ac:dyDescent="0.25">
      <c r="A31" s="1">
        <v>45839</v>
      </c>
      <c r="B31" s="2">
        <v>28000</v>
      </c>
      <c r="C31" s="2">
        <v>51219.4</v>
      </c>
      <c r="D31" s="2">
        <v>9277.59</v>
      </c>
      <c r="E31" s="2">
        <v>52888.51</v>
      </c>
      <c r="F31" s="2">
        <v>79219.399999999994</v>
      </c>
      <c r="G31" s="2">
        <v>62166.1</v>
      </c>
      <c r="H31" s="2">
        <v>17053.3</v>
      </c>
      <c r="I31" s="2">
        <v>24987.69</v>
      </c>
      <c r="J31" s="2">
        <v>192961.75</v>
      </c>
      <c r="K31" s="2">
        <v>217949.44</v>
      </c>
      <c r="L31" s="3">
        <v>1.1645833333333333</v>
      </c>
      <c r="M31" t="s">
        <v>14</v>
      </c>
      <c r="N31" s="3">
        <v>8.9583333333333334E-2</v>
      </c>
    </row>
    <row r="32" spans="1:14" x14ac:dyDescent="0.25">
      <c r="A32" s="1">
        <v>45839</v>
      </c>
      <c r="B32" s="2">
        <v>28000</v>
      </c>
      <c r="C32" s="2">
        <v>51219.4</v>
      </c>
      <c r="D32" s="2">
        <v>9277.59</v>
      </c>
      <c r="E32" s="2">
        <v>52888.51</v>
      </c>
      <c r="F32" s="2">
        <v>79219.399999999994</v>
      </c>
      <c r="G32" s="2">
        <v>62166.1</v>
      </c>
      <c r="H32" s="2">
        <v>17053.3</v>
      </c>
      <c r="I32" s="2">
        <v>24987.69</v>
      </c>
      <c r="J32" s="2">
        <v>192961.75</v>
      </c>
      <c r="K32" s="2">
        <v>217949.44</v>
      </c>
      <c r="L32" s="3">
        <v>1.1645833333333333</v>
      </c>
      <c r="M32" t="s">
        <v>17</v>
      </c>
      <c r="N32" s="3">
        <v>0.39166666666666666</v>
      </c>
    </row>
    <row r="33" spans="1:14" x14ac:dyDescent="0.25">
      <c r="A33" s="1">
        <v>45839</v>
      </c>
      <c r="B33" s="2">
        <v>28000</v>
      </c>
      <c r="C33" s="2">
        <v>51219.4</v>
      </c>
      <c r="D33" s="2">
        <v>9277.59</v>
      </c>
      <c r="E33" s="2">
        <v>52888.51</v>
      </c>
      <c r="F33" s="2">
        <v>79219.399999999994</v>
      </c>
      <c r="G33" s="2">
        <v>62166.1</v>
      </c>
      <c r="H33" s="2">
        <v>17053.3</v>
      </c>
      <c r="I33" s="2">
        <v>24987.69</v>
      </c>
      <c r="J33" s="2">
        <v>192961.75</v>
      </c>
      <c r="K33" s="2">
        <v>217949.44</v>
      </c>
      <c r="L33" s="3">
        <v>1.1645833333333333</v>
      </c>
      <c r="M33" t="s">
        <v>15</v>
      </c>
      <c r="N33" s="3">
        <v>0.45416666666666666</v>
      </c>
    </row>
    <row r="34" spans="1:14" x14ac:dyDescent="0.25">
      <c r="A34" s="1">
        <v>45870</v>
      </c>
      <c r="B34" s="2">
        <v>28000</v>
      </c>
      <c r="C34" s="2">
        <v>61209.91</v>
      </c>
      <c r="D34" s="2">
        <v>29013.64</v>
      </c>
      <c r="E34" s="2">
        <v>50007.7</v>
      </c>
      <c r="F34" s="2">
        <v>89209.91</v>
      </c>
      <c r="G34" s="2">
        <v>79021.34</v>
      </c>
      <c r="H34" s="2">
        <v>10188.57</v>
      </c>
      <c r="I34" s="2">
        <v>15176.26</v>
      </c>
      <c r="J34" s="2">
        <v>213671.98</v>
      </c>
      <c r="K34" s="2">
        <v>228848.24</v>
      </c>
      <c r="L34" s="3">
        <v>1.7611111111111111</v>
      </c>
      <c r="M34" t="s">
        <v>16</v>
      </c>
      <c r="N34" s="3">
        <v>0.49861111111111112</v>
      </c>
    </row>
    <row r="35" spans="1:14" x14ac:dyDescent="0.25">
      <c r="A35" s="1">
        <v>45870</v>
      </c>
      <c r="B35" s="2">
        <v>28000</v>
      </c>
      <c r="C35" s="2">
        <v>61209.91</v>
      </c>
      <c r="D35" s="2">
        <v>29013.64</v>
      </c>
      <c r="E35" s="2">
        <v>50007.7</v>
      </c>
      <c r="F35" s="2">
        <v>89209.91</v>
      </c>
      <c r="G35" s="2">
        <v>79021.34</v>
      </c>
      <c r="H35" s="2">
        <v>10188.57</v>
      </c>
      <c r="I35" s="2">
        <v>15176.26</v>
      </c>
      <c r="J35" s="2">
        <v>213671.98</v>
      </c>
      <c r="K35" s="2">
        <v>228848.24</v>
      </c>
      <c r="L35" s="3">
        <v>1.7611111111111111</v>
      </c>
      <c r="M35" t="s">
        <v>17</v>
      </c>
      <c r="N35" s="3">
        <v>0.37777777777777777</v>
      </c>
    </row>
    <row r="36" spans="1:14" x14ac:dyDescent="0.25">
      <c r="A36" s="1">
        <v>45870</v>
      </c>
      <c r="B36" s="2">
        <v>28000</v>
      </c>
      <c r="C36" s="2">
        <v>61209.91</v>
      </c>
      <c r="D36" s="2">
        <v>29013.64</v>
      </c>
      <c r="E36" s="2">
        <v>50007.7</v>
      </c>
      <c r="F36" s="2">
        <v>89209.91</v>
      </c>
      <c r="G36" s="2">
        <v>79021.34</v>
      </c>
      <c r="H36" s="2">
        <v>10188.57</v>
      </c>
      <c r="I36" s="2">
        <v>15176.26</v>
      </c>
      <c r="J36" s="2">
        <v>213671.98</v>
      </c>
      <c r="K36" s="2">
        <v>228848.24</v>
      </c>
      <c r="L36" s="3">
        <v>1.7611111111111111</v>
      </c>
      <c r="M36" t="s">
        <v>15</v>
      </c>
      <c r="N36" s="3">
        <v>0.88472222222222219</v>
      </c>
    </row>
    <row r="37" spans="1:14" x14ac:dyDescent="0.25">
      <c r="A37" s="1">
        <v>45901</v>
      </c>
      <c r="B37" s="2">
        <v>28000</v>
      </c>
      <c r="C37" s="2">
        <v>95590.82</v>
      </c>
      <c r="D37" s="2">
        <v>8997.49</v>
      </c>
      <c r="E37" s="2">
        <v>51533.06</v>
      </c>
      <c r="F37" s="2">
        <v>123590.82</v>
      </c>
      <c r="G37" s="2">
        <v>60530.55</v>
      </c>
      <c r="H37" s="2">
        <v>63060.27</v>
      </c>
      <c r="I37" s="2">
        <v>78236.53</v>
      </c>
      <c r="J37" s="2">
        <v>218101.4</v>
      </c>
      <c r="K37" s="2">
        <v>296337.93</v>
      </c>
      <c r="L37" s="3">
        <v>0.36527777777777781</v>
      </c>
      <c r="M37" t="s">
        <v>16</v>
      </c>
      <c r="N37" s="3">
        <v>5.6250000000000001E-2</v>
      </c>
    </row>
    <row r="38" spans="1:14" x14ac:dyDescent="0.25">
      <c r="A38" s="1">
        <v>45901</v>
      </c>
      <c r="B38" s="2">
        <v>28000</v>
      </c>
      <c r="C38" s="2">
        <v>95590.82</v>
      </c>
      <c r="D38" s="2">
        <v>8997.49</v>
      </c>
      <c r="E38" s="2">
        <v>51533.06</v>
      </c>
      <c r="F38" s="2">
        <v>123590.82</v>
      </c>
      <c r="G38" s="2">
        <v>60530.55</v>
      </c>
      <c r="H38" s="2">
        <v>63060.27</v>
      </c>
      <c r="I38" s="2">
        <v>78236.53</v>
      </c>
      <c r="J38" s="2">
        <v>218101.4</v>
      </c>
      <c r="K38" s="2">
        <v>296337.93</v>
      </c>
      <c r="L38" s="3">
        <v>0.36527777777777781</v>
      </c>
      <c r="M38" t="s">
        <v>15</v>
      </c>
      <c r="N38" s="3">
        <v>0.30902777777777779</v>
      </c>
    </row>
    <row r="39" spans="1:14" x14ac:dyDescent="0.25">
      <c r="A39" s="1">
        <v>45931</v>
      </c>
      <c r="B39" s="2">
        <v>28000</v>
      </c>
      <c r="C39" s="2">
        <v>25684.22</v>
      </c>
      <c r="D39" s="2">
        <v>19043.150000000001</v>
      </c>
      <c r="E39" s="2">
        <v>76360.02</v>
      </c>
      <c r="F39" s="2">
        <v>53684.22</v>
      </c>
      <c r="G39" s="2">
        <v>95403.17</v>
      </c>
      <c r="H39" s="2">
        <v>-41718.949999999997</v>
      </c>
      <c r="I39" s="2">
        <v>36517.58</v>
      </c>
      <c r="J39" s="2">
        <v>218306.83</v>
      </c>
      <c r="K39" s="2">
        <v>254824.41</v>
      </c>
      <c r="L39" s="3">
        <v>0.9340277777777779</v>
      </c>
      <c r="M39" t="s">
        <v>16</v>
      </c>
      <c r="N39" s="3">
        <v>0.24027777777777778</v>
      </c>
    </row>
    <row r="40" spans="1:14" x14ac:dyDescent="0.25">
      <c r="A40" s="1">
        <v>45931</v>
      </c>
      <c r="B40" s="2">
        <v>28000</v>
      </c>
      <c r="C40" s="2">
        <v>25684.22</v>
      </c>
      <c r="D40" s="2">
        <v>19043.150000000001</v>
      </c>
      <c r="E40" s="2">
        <v>76360.02</v>
      </c>
      <c r="F40" s="2">
        <v>53684.22</v>
      </c>
      <c r="G40" s="2">
        <v>95403.17</v>
      </c>
      <c r="H40" s="2">
        <v>-41718.949999999997</v>
      </c>
      <c r="I40" s="2">
        <v>36517.58</v>
      </c>
      <c r="J40" s="2">
        <v>218306.83</v>
      </c>
      <c r="K40" s="2">
        <v>254824.41</v>
      </c>
      <c r="L40" s="3">
        <v>0.9340277777777779</v>
      </c>
      <c r="M40" t="s">
        <v>17</v>
      </c>
      <c r="N40" s="3">
        <v>0.30555555555555558</v>
      </c>
    </row>
    <row r="41" spans="1:14" x14ac:dyDescent="0.25">
      <c r="A41" s="1">
        <v>45931</v>
      </c>
      <c r="B41" s="2">
        <v>28000</v>
      </c>
      <c r="C41" s="2">
        <v>25684.22</v>
      </c>
      <c r="D41" s="2">
        <v>19043.150000000001</v>
      </c>
      <c r="E41" s="2">
        <v>76360.02</v>
      </c>
      <c r="F41" s="2">
        <v>53684.22</v>
      </c>
      <c r="G41" s="2">
        <v>95403.17</v>
      </c>
      <c r="H41" s="2">
        <v>-41718.949999999997</v>
      </c>
      <c r="I41" s="2">
        <v>36517.58</v>
      </c>
      <c r="J41" s="2">
        <v>218306.83</v>
      </c>
      <c r="K41" s="2">
        <v>254824.41</v>
      </c>
      <c r="L41" s="3">
        <v>0.9340277777777779</v>
      </c>
      <c r="M41" t="s">
        <v>15</v>
      </c>
      <c r="N41" s="3">
        <v>0.38819444444444445</v>
      </c>
    </row>
    <row r="42" spans="1:14" x14ac:dyDescent="0.25">
      <c r="A42" s="1">
        <v>45962</v>
      </c>
      <c r="B42" s="2">
        <v>28000</v>
      </c>
      <c r="C42" s="2">
        <v>49774.51</v>
      </c>
      <c r="D42" s="2">
        <v>18967.650000000001</v>
      </c>
      <c r="E42" s="2">
        <v>47475.47</v>
      </c>
      <c r="F42" s="2">
        <v>77774.509999999995</v>
      </c>
      <c r="G42" s="2">
        <v>66443.12</v>
      </c>
      <c r="H42" s="2">
        <v>11331.39</v>
      </c>
      <c r="I42" s="2">
        <v>47848.97</v>
      </c>
      <c r="J42" s="2">
        <v>222751.34</v>
      </c>
      <c r="K42" s="2">
        <v>270600.31</v>
      </c>
      <c r="L42" s="3">
        <v>0.58888888888888891</v>
      </c>
      <c r="M42" t="s">
        <v>16</v>
      </c>
      <c r="N42" s="3">
        <v>7.9166666666666663E-2</v>
      </c>
    </row>
    <row r="43" spans="1:14" x14ac:dyDescent="0.25">
      <c r="A43" s="1">
        <v>45962</v>
      </c>
      <c r="B43" s="2">
        <v>28000</v>
      </c>
      <c r="C43" s="2">
        <v>49774.51</v>
      </c>
      <c r="D43" s="2">
        <v>18967.650000000001</v>
      </c>
      <c r="E43" s="2">
        <v>47475.47</v>
      </c>
      <c r="F43" s="2">
        <v>77774.509999999995</v>
      </c>
      <c r="G43" s="2">
        <v>66443.12</v>
      </c>
      <c r="H43" s="2">
        <v>11331.39</v>
      </c>
      <c r="I43" s="2">
        <v>47848.97</v>
      </c>
      <c r="J43" s="2">
        <v>222751.34</v>
      </c>
      <c r="K43" s="2">
        <v>270600.31</v>
      </c>
      <c r="L43" s="3">
        <v>0.58888888888888891</v>
      </c>
      <c r="M43" t="s">
        <v>17</v>
      </c>
      <c r="N43" s="3">
        <v>0.28749999999999998</v>
      </c>
    </row>
    <row r="44" spans="1:14" x14ac:dyDescent="0.25">
      <c r="A44" s="1">
        <v>45962</v>
      </c>
      <c r="B44" s="2">
        <v>28000</v>
      </c>
      <c r="C44" s="2">
        <v>49774.51</v>
      </c>
      <c r="D44" s="2">
        <v>18967.650000000001</v>
      </c>
      <c r="E44" s="2">
        <v>47475.47</v>
      </c>
      <c r="F44" s="2">
        <v>77774.509999999995</v>
      </c>
      <c r="G44" s="2">
        <v>66443.12</v>
      </c>
      <c r="H44" s="2">
        <v>11331.39</v>
      </c>
      <c r="I44" s="2">
        <v>47848.97</v>
      </c>
      <c r="J44" s="2">
        <v>222751.34</v>
      </c>
      <c r="K44" s="2">
        <v>270600.31</v>
      </c>
      <c r="L44" s="3">
        <v>0.58888888888888891</v>
      </c>
      <c r="M44" t="s">
        <v>19</v>
      </c>
      <c r="N44" s="3">
        <v>0.16111111111111112</v>
      </c>
    </row>
    <row r="45" spans="1:14" x14ac:dyDescent="0.25">
      <c r="A45" s="1">
        <v>45962</v>
      </c>
      <c r="B45" s="2">
        <v>28000</v>
      </c>
      <c r="C45" s="2">
        <v>49774.51</v>
      </c>
      <c r="D45" s="2">
        <v>18967.650000000001</v>
      </c>
      <c r="E45" s="2">
        <v>47475.47</v>
      </c>
      <c r="F45" s="2">
        <v>77774.509999999995</v>
      </c>
      <c r="G45" s="2">
        <v>66443.12</v>
      </c>
      <c r="H45" s="2">
        <v>11331.39</v>
      </c>
      <c r="I45" s="2">
        <v>47848.97</v>
      </c>
      <c r="J45" s="2">
        <v>222751.34</v>
      </c>
      <c r="K45" s="2">
        <v>270600.31</v>
      </c>
      <c r="L45" s="3">
        <v>0.58888888888888891</v>
      </c>
      <c r="M45" t="s">
        <v>15</v>
      </c>
      <c r="N45" s="3">
        <v>6.1111111111111109E-2</v>
      </c>
    </row>
    <row r="46" spans="1:14" x14ac:dyDescent="0.25">
      <c r="A46" s="1">
        <v>45992</v>
      </c>
      <c r="B46" s="2">
        <v>28000</v>
      </c>
      <c r="C46" s="2">
        <v>36007.35</v>
      </c>
      <c r="D46" s="2">
        <v>22903.77</v>
      </c>
      <c r="E46" s="2">
        <v>43632.92</v>
      </c>
      <c r="F46" s="2">
        <v>64007.35</v>
      </c>
      <c r="G46" s="2">
        <v>66536.69</v>
      </c>
      <c r="H46" s="2">
        <v>-2529.34</v>
      </c>
      <c r="I46" s="2">
        <v>3006.78</v>
      </c>
      <c r="J46" s="2">
        <v>267795.21999999997</v>
      </c>
      <c r="K46" s="2">
        <v>270802</v>
      </c>
      <c r="L46" s="3">
        <v>0.84097222222222223</v>
      </c>
      <c r="M46" t="s">
        <v>16</v>
      </c>
      <c r="N46" s="3">
        <v>0.1111111111111111</v>
      </c>
    </row>
    <row r="47" spans="1:14" x14ac:dyDescent="0.25">
      <c r="A47" s="1">
        <v>45992</v>
      </c>
      <c r="B47" s="2">
        <v>28000</v>
      </c>
      <c r="C47" s="2">
        <v>36007.35</v>
      </c>
      <c r="D47" s="2">
        <v>22903.77</v>
      </c>
      <c r="E47" s="2">
        <v>43632.92</v>
      </c>
      <c r="F47" s="2">
        <v>64007.35</v>
      </c>
      <c r="G47" s="2">
        <v>66536.69</v>
      </c>
      <c r="H47" s="2">
        <v>-2529.34</v>
      </c>
      <c r="I47" s="2">
        <v>3006.78</v>
      </c>
      <c r="J47" s="2">
        <v>267795.21999999997</v>
      </c>
      <c r="K47" s="2">
        <v>270802</v>
      </c>
      <c r="L47" s="3">
        <v>0.84097222222222223</v>
      </c>
      <c r="M47" t="s">
        <v>22</v>
      </c>
      <c r="N47" s="3">
        <v>0.10694444444444444</v>
      </c>
    </row>
    <row r="48" spans="1:14" x14ac:dyDescent="0.25">
      <c r="A48" s="1">
        <v>45992</v>
      </c>
      <c r="B48" s="2">
        <v>28000</v>
      </c>
      <c r="C48" s="2">
        <v>36007.35</v>
      </c>
      <c r="D48" s="2">
        <v>22903.77</v>
      </c>
      <c r="E48" s="2">
        <v>43632.92</v>
      </c>
      <c r="F48" s="2">
        <v>64007.35</v>
      </c>
      <c r="G48" s="2">
        <v>66536.69</v>
      </c>
      <c r="H48" s="2">
        <v>-2529.34</v>
      </c>
      <c r="I48" s="2">
        <v>3006.78</v>
      </c>
      <c r="J48" s="2">
        <v>267795.21999999997</v>
      </c>
      <c r="K48" s="2">
        <v>270802</v>
      </c>
      <c r="L48" s="3">
        <v>0.84097222222222223</v>
      </c>
      <c r="M48" t="s">
        <v>14</v>
      </c>
      <c r="N48" s="3">
        <v>2.9166666666666667E-2</v>
      </c>
    </row>
    <row r="49" spans="1:14" x14ac:dyDescent="0.25">
      <c r="A49" s="1">
        <v>45992</v>
      </c>
      <c r="B49" s="2">
        <v>28000</v>
      </c>
      <c r="C49" s="2">
        <v>36007.35</v>
      </c>
      <c r="D49" s="2">
        <v>22903.77</v>
      </c>
      <c r="E49" s="2">
        <v>43632.92</v>
      </c>
      <c r="F49" s="2">
        <v>64007.35</v>
      </c>
      <c r="G49" s="2">
        <v>66536.69</v>
      </c>
      <c r="H49" s="2">
        <v>-2529.34</v>
      </c>
      <c r="I49" s="2">
        <v>3006.78</v>
      </c>
      <c r="J49" s="2">
        <v>267795.21999999997</v>
      </c>
      <c r="K49" s="2">
        <v>270802</v>
      </c>
      <c r="L49" s="3">
        <v>0.84097222222222223</v>
      </c>
      <c r="M49" t="s">
        <v>17</v>
      </c>
      <c r="N49" s="3">
        <v>0.27777777777777779</v>
      </c>
    </row>
    <row r="50" spans="1:14" x14ac:dyDescent="0.25">
      <c r="A50" s="1">
        <v>45992</v>
      </c>
      <c r="B50" s="2">
        <v>28000</v>
      </c>
      <c r="C50" s="2">
        <v>36007.35</v>
      </c>
      <c r="D50" s="2">
        <v>22903.77</v>
      </c>
      <c r="E50" s="2">
        <v>43632.92</v>
      </c>
      <c r="F50" s="2">
        <v>64007.35</v>
      </c>
      <c r="G50" s="2">
        <v>66536.69</v>
      </c>
      <c r="H50" s="2">
        <v>-2529.34</v>
      </c>
      <c r="I50" s="2">
        <v>3006.78</v>
      </c>
      <c r="J50" s="2">
        <v>267795.21999999997</v>
      </c>
      <c r="K50" s="2">
        <v>270802</v>
      </c>
      <c r="L50" s="3">
        <v>0.84097222222222223</v>
      </c>
      <c r="M50" t="s">
        <v>19</v>
      </c>
      <c r="N50" s="3">
        <v>7.7777777777777779E-2</v>
      </c>
    </row>
    <row r="51" spans="1:14" x14ac:dyDescent="0.25">
      <c r="A51" s="1">
        <v>45992</v>
      </c>
      <c r="B51" s="2">
        <v>28000</v>
      </c>
      <c r="C51" s="2">
        <v>36007.35</v>
      </c>
      <c r="D51" s="2">
        <v>22903.77</v>
      </c>
      <c r="E51" s="2">
        <v>43632.92</v>
      </c>
      <c r="F51" s="2">
        <v>64007.35</v>
      </c>
      <c r="G51" s="2">
        <v>66536.69</v>
      </c>
      <c r="H51" s="2">
        <v>-2529.34</v>
      </c>
      <c r="I51" s="2">
        <v>3006.78</v>
      </c>
      <c r="J51" s="2">
        <v>267795.21999999997</v>
      </c>
      <c r="K51" s="2">
        <v>270802</v>
      </c>
      <c r="L51" s="3">
        <v>0.84097222222222223</v>
      </c>
      <c r="M51" t="s">
        <v>15</v>
      </c>
      <c r="N51" s="3">
        <v>0.23819444444444443</v>
      </c>
    </row>
    <row r="52" spans="1:14" x14ac:dyDescent="0.25">
      <c r="A52" s="1">
        <v>46023</v>
      </c>
      <c r="B52" s="2">
        <v>28000</v>
      </c>
      <c r="C52" s="2">
        <v>44071.41</v>
      </c>
      <c r="D52" s="2">
        <v>19858.46</v>
      </c>
      <c r="E52" s="2">
        <v>46724.92</v>
      </c>
      <c r="F52" s="2">
        <v>72071.41</v>
      </c>
      <c r="G52" s="2">
        <v>66583.38</v>
      </c>
      <c r="H52" s="2">
        <v>5488.03</v>
      </c>
      <c r="I52" s="2">
        <v>28494.81</v>
      </c>
      <c r="J52" s="2">
        <v>250366.05</v>
      </c>
      <c r="K52" s="2">
        <v>278860.86</v>
      </c>
      <c r="L52" s="3">
        <v>1.1222222222222222</v>
      </c>
      <c r="M52" t="s">
        <v>16</v>
      </c>
      <c r="N52" s="3">
        <v>0.10555555555555556</v>
      </c>
    </row>
    <row r="53" spans="1:14" x14ac:dyDescent="0.25">
      <c r="A53" s="1">
        <v>46023</v>
      </c>
      <c r="B53" s="2">
        <v>28000</v>
      </c>
      <c r="C53" s="2">
        <v>44071.41</v>
      </c>
      <c r="D53" s="2">
        <v>19858.46</v>
      </c>
      <c r="E53" s="2">
        <v>46724.92</v>
      </c>
      <c r="F53" s="2">
        <v>72071.41</v>
      </c>
      <c r="G53" s="2">
        <v>66583.38</v>
      </c>
      <c r="H53" s="2">
        <v>5488.03</v>
      </c>
      <c r="I53" s="2">
        <v>28494.81</v>
      </c>
      <c r="J53" s="2">
        <v>250366.05</v>
      </c>
      <c r="K53" s="2">
        <v>278860.86</v>
      </c>
      <c r="L53" s="3">
        <v>1.1222222222222222</v>
      </c>
      <c r="M53" t="s">
        <v>17</v>
      </c>
      <c r="N53" s="3">
        <v>0.47222222222222221</v>
      </c>
    </row>
    <row r="54" spans="1:14" x14ac:dyDescent="0.25">
      <c r="A54" s="1">
        <v>46023</v>
      </c>
      <c r="B54" s="2">
        <v>28000</v>
      </c>
      <c r="C54" s="2">
        <v>44071.41</v>
      </c>
      <c r="D54" s="2">
        <v>19858.46</v>
      </c>
      <c r="E54" s="2">
        <v>46724.92</v>
      </c>
      <c r="F54" s="2">
        <v>72071.41</v>
      </c>
      <c r="G54" s="2">
        <v>66583.38</v>
      </c>
      <c r="H54" s="2">
        <v>5488.03</v>
      </c>
      <c r="I54" s="2">
        <v>28494.81</v>
      </c>
      <c r="J54" s="2">
        <v>250366.05</v>
      </c>
      <c r="K54" s="2">
        <v>278860.86</v>
      </c>
      <c r="L54" s="3">
        <v>1.1222222222222222</v>
      </c>
      <c r="M54" t="s">
        <v>19</v>
      </c>
      <c r="N54" s="3">
        <v>7.9861111111111105E-2</v>
      </c>
    </row>
    <row r="55" spans="1:14" x14ac:dyDescent="0.25">
      <c r="A55" s="1">
        <v>46023</v>
      </c>
      <c r="B55" s="2">
        <v>28000</v>
      </c>
      <c r="C55" s="2">
        <v>44071.41</v>
      </c>
      <c r="D55" s="2">
        <v>19858.46</v>
      </c>
      <c r="E55" s="2">
        <v>46724.92</v>
      </c>
      <c r="F55" s="2">
        <v>72071.41</v>
      </c>
      <c r="G55" s="2">
        <v>66583.38</v>
      </c>
      <c r="H55" s="2">
        <v>5488.03</v>
      </c>
      <c r="I55" s="2">
        <v>28494.81</v>
      </c>
      <c r="J55" s="2">
        <v>250366.05</v>
      </c>
      <c r="K55" s="2">
        <v>278860.86</v>
      </c>
      <c r="L55" s="3">
        <v>1.1222222222222222</v>
      </c>
      <c r="M55" t="s">
        <v>15</v>
      </c>
      <c r="N55" s="3">
        <v>0.27986111111111112</v>
      </c>
    </row>
    <row r="56" spans="1:14" x14ac:dyDescent="0.25">
      <c r="A56" s="1">
        <v>46023</v>
      </c>
      <c r="B56" s="2">
        <v>28000</v>
      </c>
      <c r="C56" s="2">
        <v>44071.41</v>
      </c>
      <c r="D56" s="2">
        <v>19858.46</v>
      </c>
      <c r="E56" s="2">
        <v>46724.92</v>
      </c>
      <c r="F56" s="2">
        <v>72071.41</v>
      </c>
      <c r="G56" s="2">
        <v>66583.38</v>
      </c>
      <c r="H56" s="2">
        <v>5488.03</v>
      </c>
      <c r="I56" s="2">
        <v>28494.81</v>
      </c>
      <c r="J56" s="2">
        <v>250366.05</v>
      </c>
      <c r="K56" s="2">
        <v>278860.86</v>
      </c>
      <c r="L56" s="3">
        <v>1.1222222222222222</v>
      </c>
      <c r="M56" t="s">
        <v>23</v>
      </c>
      <c r="N56" s="3">
        <v>0.18472222222222223</v>
      </c>
    </row>
    <row r="57" spans="1:14" x14ac:dyDescent="0.25">
      <c r="A57" s="1">
        <v>46054</v>
      </c>
      <c r="B57" s="2">
        <v>28000</v>
      </c>
      <c r="C57" s="2">
        <v>57598.19</v>
      </c>
      <c r="D57" s="2">
        <v>29995.58</v>
      </c>
      <c r="E57" s="2">
        <v>27288.03</v>
      </c>
      <c r="F57" s="2">
        <v>85598.19</v>
      </c>
      <c r="G57" s="2">
        <v>57283.61</v>
      </c>
      <c r="H57" s="2">
        <v>28314.58</v>
      </c>
      <c r="I57" s="2">
        <v>16809.39</v>
      </c>
      <c r="J57" s="2">
        <v>292656.73</v>
      </c>
      <c r="K57" s="2">
        <v>309466.12</v>
      </c>
      <c r="L57" s="3">
        <v>1.0270833333333333</v>
      </c>
      <c r="M57" t="s">
        <v>16</v>
      </c>
      <c r="N57" s="3">
        <v>0.21597222222222223</v>
      </c>
    </row>
    <row r="58" spans="1:14" x14ac:dyDescent="0.25">
      <c r="A58" s="1">
        <v>46054</v>
      </c>
      <c r="B58" s="2">
        <v>28000</v>
      </c>
      <c r="C58" s="2">
        <v>57598.19</v>
      </c>
      <c r="D58" s="2">
        <v>29995.58</v>
      </c>
      <c r="E58" s="2">
        <v>27288.03</v>
      </c>
      <c r="F58" s="2">
        <v>85598.19</v>
      </c>
      <c r="G58" s="2">
        <v>57283.61</v>
      </c>
      <c r="H58" s="2">
        <v>28314.58</v>
      </c>
      <c r="I58" s="2">
        <v>16809.39</v>
      </c>
      <c r="J58" s="2">
        <v>292656.73</v>
      </c>
      <c r="K58" s="2">
        <v>309466.12</v>
      </c>
      <c r="L58" s="3">
        <v>1.0270833333333333</v>
      </c>
      <c r="M58" t="s">
        <v>14</v>
      </c>
      <c r="N58" s="3">
        <v>0.12013888888888889</v>
      </c>
    </row>
    <row r="59" spans="1:14" x14ac:dyDescent="0.25">
      <c r="A59" s="1">
        <v>46054</v>
      </c>
      <c r="B59" s="2">
        <v>28000</v>
      </c>
      <c r="C59" s="2">
        <v>57598.19</v>
      </c>
      <c r="D59" s="2">
        <v>29995.58</v>
      </c>
      <c r="E59" s="2">
        <v>27288.03</v>
      </c>
      <c r="F59" s="2">
        <v>85598.19</v>
      </c>
      <c r="G59" s="2">
        <v>57283.61</v>
      </c>
      <c r="H59" s="2">
        <v>28314.58</v>
      </c>
      <c r="I59" s="2">
        <v>16809.39</v>
      </c>
      <c r="J59" s="2">
        <v>292656.73</v>
      </c>
      <c r="K59" s="2">
        <v>309466.12</v>
      </c>
      <c r="L59" s="3">
        <v>1.0270833333333333</v>
      </c>
      <c r="M59" t="s">
        <v>17</v>
      </c>
      <c r="N59" s="3">
        <v>0.21388888888888888</v>
      </c>
    </row>
    <row r="60" spans="1:14" x14ac:dyDescent="0.25">
      <c r="A60" s="1">
        <v>46054</v>
      </c>
      <c r="B60" s="2">
        <v>28000</v>
      </c>
      <c r="C60" s="2">
        <v>57598.19</v>
      </c>
      <c r="D60" s="2">
        <v>29995.58</v>
      </c>
      <c r="E60" s="2">
        <v>27288.03</v>
      </c>
      <c r="F60" s="2">
        <v>85598.19</v>
      </c>
      <c r="G60" s="2">
        <v>57283.61</v>
      </c>
      <c r="H60" s="2">
        <v>28314.58</v>
      </c>
      <c r="I60" s="2">
        <v>16809.39</v>
      </c>
      <c r="J60" s="2">
        <v>292656.73</v>
      </c>
      <c r="K60" s="2">
        <v>309466.12</v>
      </c>
      <c r="L60" s="3">
        <v>1.0270833333333333</v>
      </c>
      <c r="M60" t="s">
        <v>15</v>
      </c>
      <c r="N60" s="3">
        <v>0.31736111111111109</v>
      </c>
    </row>
    <row r="61" spans="1:14" x14ac:dyDescent="0.25">
      <c r="A61" s="1">
        <v>46054</v>
      </c>
      <c r="B61" s="2">
        <v>28000</v>
      </c>
      <c r="C61" s="2">
        <v>57598.19</v>
      </c>
      <c r="D61" s="2">
        <v>29995.58</v>
      </c>
      <c r="E61" s="2">
        <v>27288.03</v>
      </c>
      <c r="F61" s="2">
        <v>85598.19</v>
      </c>
      <c r="G61" s="2">
        <v>57283.61</v>
      </c>
      <c r="H61" s="2">
        <v>28314.58</v>
      </c>
      <c r="I61" s="2">
        <v>16809.39</v>
      </c>
      <c r="J61" s="2">
        <v>292656.73</v>
      </c>
      <c r="K61" s="2">
        <v>309466.12</v>
      </c>
      <c r="L61" s="3">
        <v>1.0270833333333333</v>
      </c>
      <c r="M61" t="s">
        <v>23</v>
      </c>
      <c r="N61" s="3">
        <v>0.15972222222222221</v>
      </c>
    </row>
    <row r="62" spans="1:14" x14ac:dyDescent="0.25">
      <c r="A62" s="1">
        <v>46082</v>
      </c>
      <c r="B62" s="2">
        <v>28000</v>
      </c>
      <c r="C62" s="2">
        <v>48047.46</v>
      </c>
      <c r="D62" s="2">
        <v>9189.2900000000009</v>
      </c>
      <c r="E62" s="2">
        <v>104793.44</v>
      </c>
      <c r="F62" s="2">
        <v>76047.460000000006</v>
      </c>
      <c r="G62" s="2">
        <v>113982.73</v>
      </c>
      <c r="H62" s="2">
        <v>-37935.269999999997</v>
      </c>
      <c r="I62" s="2">
        <v>5118.12</v>
      </c>
      <c r="J62" s="2">
        <v>269473.26</v>
      </c>
      <c r="K62" s="2">
        <v>274591.38</v>
      </c>
      <c r="L62" s="3">
        <v>1.3652777777777778</v>
      </c>
      <c r="M62" t="s">
        <v>16</v>
      </c>
      <c r="N62" s="3">
        <v>0.17569444444444443</v>
      </c>
    </row>
    <row r="63" spans="1:14" x14ac:dyDescent="0.25">
      <c r="A63" s="1">
        <v>46082</v>
      </c>
      <c r="B63" s="2">
        <v>28000</v>
      </c>
      <c r="C63" s="2">
        <v>48047.46</v>
      </c>
      <c r="D63" s="2">
        <v>9189.2900000000009</v>
      </c>
      <c r="E63" s="2">
        <v>104793.44</v>
      </c>
      <c r="F63" s="2">
        <v>76047.460000000006</v>
      </c>
      <c r="G63" s="2">
        <v>113982.73</v>
      </c>
      <c r="H63" s="2">
        <v>-37935.269999999997</v>
      </c>
      <c r="I63" s="2">
        <v>5118.12</v>
      </c>
      <c r="J63" s="2">
        <v>269473.26</v>
      </c>
      <c r="K63" s="2">
        <v>274591.38</v>
      </c>
      <c r="L63" s="3">
        <v>1.3652777777777778</v>
      </c>
      <c r="M63" t="s">
        <v>22</v>
      </c>
      <c r="N63" s="3">
        <v>0.33194444444444443</v>
      </c>
    </row>
    <row r="64" spans="1:14" x14ac:dyDescent="0.25">
      <c r="A64" s="1">
        <v>46082</v>
      </c>
      <c r="B64" s="2">
        <v>28000</v>
      </c>
      <c r="C64" s="2">
        <v>48047.46</v>
      </c>
      <c r="D64" s="2">
        <v>9189.2900000000009</v>
      </c>
      <c r="E64" s="2">
        <v>104793.44</v>
      </c>
      <c r="F64" s="2">
        <v>76047.460000000006</v>
      </c>
      <c r="G64" s="2">
        <v>113982.73</v>
      </c>
      <c r="H64" s="2">
        <v>-37935.269999999997</v>
      </c>
      <c r="I64" s="2">
        <v>5118.12</v>
      </c>
      <c r="J64" s="2">
        <v>269473.26</v>
      </c>
      <c r="K64" s="2">
        <v>274591.38</v>
      </c>
      <c r="L64" s="3">
        <v>1.3652777777777778</v>
      </c>
      <c r="M64" t="s">
        <v>14</v>
      </c>
      <c r="N64" s="3">
        <v>0.12430555555555556</v>
      </c>
    </row>
    <row r="65" spans="1:14" x14ac:dyDescent="0.25">
      <c r="A65" s="1">
        <v>46082</v>
      </c>
      <c r="B65" s="2">
        <v>28000</v>
      </c>
      <c r="C65" s="2">
        <v>48047.46</v>
      </c>
      <c r="D65" s="2">
        <v>9189.2900000000009</v>
      </c>
      <c r="E65" s="2">
        <v>104793.44</v>
      </c>
      <c r="F65" s="2">
        <v>76047.460000000006</v>
      </c>
      <c r="G65" s="2">
        <v>113982.73</v>
      </c>
      <c r="H65" s="2">
        <v>-37935.269999999997</v>
      </c>
      <c r="I65" s="2">
        <v>5118.12</v>
      </c>
      <c r="J65" s="2">
        <v>269473.26</v>
      </c>
      <c r="K65" s="2">
        <v>274591.38</v>
      </c>
      <c r="L65" s="3">
        <v>1.3652777777777778</v>
      </c>
      <c r="M65" t="s">
        <v>17</v>
      </c>
      <c r="N65" s="3">
        <v>0.44027777777777777</v>
      </c>
    </row>
    <row r="66" spans="1:14" x14ac:dyDescent="0.25">
      <c r="A66" s="1">
        <v>46082</v>
      </c>
      <c r="B66" s="2">
        <v>28000</v>
      </c>
      <c r="C66" s="2">
        <v>48047.46</v>
      </c>
      <c r="D66" s="2">
        <v>9189.2900000000009</v>
      </c>
      <c r="E66" s="2">
        <v>104793.44</v>
      </c>
      <c r="F66" s="2">
        <v>76047.460000000006</v>
      </c>
      <c r="G66" s="2">
        <v>113982.73</v>
      </c>
      <c r="H66" s="2">
        <v>-37935.269999999997</v>
      </c>
      <c r="I66" s="2">
        <v>5118.12</v>
      </c>
      <c r="J66" s="2">
        <v>269473.26</v>
      </c>
      <c r="K66" s="2">
        <v>274591.38</v>
      </c>
      <c r="L66" s="3">
        <v>1.3652777777777778</v>
      </c>
      <c r="M66" t="s">
        <v>19</v>
      </c>
      <c r="N66" s="3">
        <v>0.10069444444444445</v>
      </c>
    </row>
    <row r="67" spans="1:14" x14ac:dyDescent="0.25">
      <c r="A67" s="1">
        <v>46082</v>
      </c>
      <c r="B67" s="2">
        <v>28000</v>
      </c>
      <c r="C67" s="2">
        <v>48047.46</v>
      </c>
      <c r="D67" s="2">
        <v>9189.2900000000009</v>
      </c>
      <c r="E67" s="2">
        <v>104793.44</v>
      </c>
      <c r="F67" s="2">
        <v>76047.460000000006</v>
      </c>
      <c r="G67" s="2">
        <v>113982.73</v>
      </c>
      <c r="H67" s="2">
        <v>-37935.269999999997</v>
      </c>
      <c r="I67" s="2">
        <v>5118.12</v>
      </c>
      <c r="J67" s="2">
        <v>269473.26</v>
      </c>
      <c r="K67" s="2">
        <v>274591.38</v>
      </c>
      <c r="L67" s="3">
        <v>1.3652777777777778</v>
      </c>
      <c r="M67" t="s">
        <v>15</v>
      </c>
      <c r="N67" s="3">
        <v>0.19236111111111112</v>
      </c>
    </row>
    <row r="68" spans="1:14" x14ac:dyDescent="0.25">
      <c r="A68" s="1">
        <v>46113</v>
      </c>
      <c r="B68" s="2">
        <v>28000</v>
      </c>
      <c r="C68" s="2">
        <v>65907.95</v>
      </c>
      <c r="D68" s="2">
        <v>43042.239999999998</v>
      </c>
      <c r="E68" s="2">
        <v>49420.68</v>
      </c>
      <c r="F68" s="2">
        <v>93907.95</v>
      </c>
      <c r="G68" s="2">
        <v>92462.92</v>
      </c>
      <c r="H68" s="2">
        <v>1445.03</v>
      </c>
      <c r="I68" s="2">
        <v>9574.85</v>
      </c>
      <c r="J68" s="2">
        <v>265145.95</v>
      </c>
      <c r="K68" s="2">
        <v>274720.8</v>
      </c>
      <c r="L68" s="3">
        <v>0.64166666666666661</v>
      </c>
      <c r="M68" t="s">
        <v>16</v>
      </c>
      <c r="N68" s="3">
        <v>6.5972222222222224E-2</v>
      </c>
    </row>
    <row r="69" spans="1:14" x14ac:dyDescent="0.25">
      <c r="A69" s="1">
        <v>46113</v>
      </c>
      <c r="B69" s="2">
        <v>28000</v>
      </c>
      <c r="C69" s="2">
        <v>65907.95</v>
      </c>
      <c r="D69" s="2">
        <v>43042.239999999998</v>
      </c>
      <c r="E69" s="2">
        <v>49420.68</v>
      </c>
      <c r="F69" s="2">
        <v>93907.95</v>
      </c>
      <c r="G69" s="2">
        <v>92462.92</v>
      </c>
      <c r="H69" s="2">
        <v>1445.03</v>
      </c>
      <c r="I69" s="2">
        <v>9574.85</v>
      </c>
      <c r="J69" s="2">
        <v>265145.95</v>
      </c>
      <c r="K69" s="2">
        <v>274720.8</v>
      </c>
      <c r="L69" s="3">
        <v>0.64166666666666661</v>
      </c>
      <c r="M69" t="s">
        <v>17</v>
      </c>
      <c r="N69" s="3">
        <v>0.24791666666666667</v>
      </c>
    </row>
    <row r="70" spans="1:14" x14ac:dyDescent="0.25">
      <c r="A70" s="1">
        <v>46113</v>
      </c>
      <c r="B70" s="2">
        <v>28000</v>
      </c>
      <c r="C70" s="2">
        <v>65907.95</v>
      </c>
      <c r="D70" s="2">
        <v>43042.239999999998</v>
      </c>
      <c r="E70" s="2">
        <v>49420.68</v>
      </c>
      <c r="F70" s="2">
        <v>93907.95</v>
      </c>
      <c r="G70" s="2">
        <v>92462.92</v>
      </c>
      <c r="H70" s="2">
        <v>1445.03</v>
      </c>
      <c r="I70" s="2">
        <v>9574.85</v>
      </c>
      <c r="J70" s="2">
        <v>265145.95</v>
      </c>
      <c r="K70" s="2">
        <v>274720.8</v>
      </c>
      <c r="L70" s="3">
        <v>0.64166666666666661</v>
      </c>
      <c r="M70" t="s">
        <v>15</v>
      </c>
      <c r="N70" s="3">
        <v>0.11180555555555556</v>
      </c>
    </row>
    <row r="71" spans="1:14" x14ac:dyDescent="0.25">
      <c r="A71" s="1">
        <v>46113</v>
      </c>
      <c r="B71" s="2">
        <v>28000</v>
      </c>
      <c r="C71" s="2">
        <v>65907.95</v>
      </c>
      <c r="D71" s="2">
        <v>43042.239999999998</v>
      </c>
      <c r="E71" s="2">
        <v>49420.68</v>
      </c>
      <c r="F71" s="2">
        <v>93907.95</v>
      </c>
      <c r="G71" s="2">
        <v>92462.92</v>
      </c>
      <c r="H71" s="2">
        <v>1445.03</v>
      </c>
      <c r="I71" s="2">
        <v>9574.85</v>
      </c>
      <c r="J71" s="2">
        <v>265145.95</v>
      </c>
      <c r="K71" s="2">
        <v>274720.8</v>
      </c>
      <c r="L71" s="3">
        <v>0.64166666666666661</v>
      </c>
      <c r="M71" t="s">
        <v>23</v>
      </c>
      <c r="N71" s="3">
        <v>0.21597222222222223</v>
      </c>
    </row>
    <row r="72" spans="1:14" x14ac:dyDescent="0.25">
      <c r="A72" s="1">
        <v>46143</v>
      </c>
      <c r="B72" s="2">
        <v>28000</v>
      </c>
      <c r="C72" s="2">
        <v>37471.82</v>
      </c>
      <c r="D72" s="2">
        <f t="shared" ref="D72:D77" si="0">14734+4123.35+820.17+56.24</f>
        <v>19733.759999999998</v>
      </c>
      <c r="E72" s="2">
        <v>75134.210000000006</v>
      </c>
      <c r="F72" s="2">
        <v>65471.82</v>
      </c>
      <c r="G72" s="2">
        <v>94867.97</v>
      </c>
      <c r="H72" s="2">
        <v>-29396.15</v>
      </c>
      <c r="I72" s="2">
        <v>6311.64</v>
      </c>
      <c r="J72" s="2">
        <v>244103.77</v>
      </c>
      <c r="K72" s="2">
        <f>Tabela1[[#This Row],[Saldo Conta Corrente]]+Tabela1[[#This Row],[Saldo Contas de Aplicação]]</f>
        <v>250415.41</v>
      </c>
      <c r="L72" s="3">
        <v>1.4076388888888889</v>
      </c>
      <c r="M72" t="s">
        <v>14</v>
      </c>
      <c r="N72" s="3">
        <v>4.4444444444444446E-2</v>
      </c>
    </row>
    <row r="73" spans="1:14" x14ac:dyDescent="0.25">
      <c r="A73" s="1">
        <v>46143</v>
      </c>
      <c r="B73" s="2">
        <v>28000</v>
      </c>
      <c r="C73" s="2">
        <v>37471.82</v>
      </c>
      <c r="D73" s="2">
        <f t="shared" si="0"/>
        <v>19733.759999999998</v>
      </c>
      <c r="E73" s="2">
        <v>75134.210000000006</v>
      </c>
      <c r="F73" s="2">
        <v>65471.82</v>
      </c>
      <c r="G73" s="2">
        <v>94867.97</v>
      </c>
      <c r="H73" s="2">
        <v>-29396.15</v>
      </c>
      <c r="I73" s="2">
        <v>6311.64</v>
      </c>
      <c r="J73" s="2">
        <v>244103.77</v>
      </c>
      <c r="K73" s="2">
        <f>Tabela1[[#This Row],[Saldo Conta Corrente]]+Tabela1[[#This Row],[Saldo Contas de Aplicação]]</f>
        <v>250415.41</v>
      </c>
      <c r="L73" s="3">
        <v>1.4076388888888889</v>
      </c>
      <c r="M73" t="s">
        <v>17</v>
      </c>
      <c r="N73" s="3">
        <v>0.46875</v>
      </c>
    </row>
    <row r="74" spans="1:14" x14ac:dyDescent="0.25">
      <c r="A74" s="1">
        <v>46143</v>
      </c>
      <c r="B74" s="2">
        <v>28000</v>
      </c>
      <c r="C74" s="2">
        <v>37471.82</v>
      </c>
      <c r="D74" s="2">
        <f t="shared" si="0"/>
        <v>19733.759999999998</v>
      </c>
      <c r="E74" s="2">
        <v>75134.210000000006</v>
      </c>
      <c r="F74" s="2">
        <v>65471.82</v>
      </c>
      <c r="G74" s="2">
        <v>94867.97</v>
      </c>
      <c r="H74" s="2">
        <v>-29396.15</v>
      </c>
      <c r="I74" s="2">
        <v>6311.64</v>
      </c>
      <c r="J74" s="2">
        <v>244103.77</v>
      </c>
      <c r="K74" s="2">
        <f>Tabela1[[#This Row],[Saldo Conta Corrente]]+Tabela1[[#This Row],[Saldo Contas de Aplicação]]</f>
        <v>250415.41</v>
      </c>
      <c r="L74" s="3">
        <v>1.4076388888888889</v>
      </c>
      <c r="M74" t="s">
        <v>16</v>
      </c>
      <c r="N74" s="3">
        <v>0.1763888888888889</v>
      </c>
    </row>
    <row r="75" spans="1:14" x14ac:dyDescent="0.25">
      <c r="A75" s="1">
        <v>46143</v>
      </c>
      <c r="B75" s="2">
        <v>28000</v>
      </c>
      <c r="C75" s="2">
        <v>37471.82</v>
      </c>
      <c r="D75" s="2">
        <f t="shared" si="0"/>
        <v>19733.759999999998</v>
      </c>
      <c r="E75" s="2">
        <v>75134.210000000006</v>
      </c>
      <c r="F75" s="2">
        <v>65471.82</v>
      </c>
      <c r="G75" s="2">
        <v>94867.97</v>
      </c>
      <c r="H75" s="2">
        <v>-29396.15</v>
      </c>
      <c r="I75" s="2">
        <v>6311.64</v>
      </c>
      <c r="J75" s="2">
        <v>244103.77</v>
      </c>
      <c r="K75" s="2">
        <f>Tabela1[[#This Row],[Saldo Conta Corrente]]+Tabela1[[#This Row],[Saldo Contas de Aplicação]]</f>
        <v>250415.41</v>
      </c>
      <c r="L75" s="3">
        <v>1.4076388888888889</v>
      </c>
      <c r="M75" t="s">
        <v>24</v>
      </c>
      <c r="N75" s="3">
        <v>0.24930555555555556</v>
      </c>
    </row>
    <row r="76" spans="1:14" x14ac:dyDescent="0.25">
      <c r="A76" s="1">
        <v>46143</v>
      </c>
      <c r="B76" s="2">
        <v>28000</v>
      </c>
      <c r="C76" s="2">
        <v>37471.82</v>
      </c>
      <c r="D76" s="2">
        <f t="shared" si="0"/>
        <v>19733.759999999998</v>
      </c>
      <c r="E76" s="2">
        <v>75134.210000000006</v>
      </c>
      <c r="F76" s="2">
        <v>65471.82</v>
      </c>
      <c r="G76" s="2">
        <v>94867.97</v>
      </c>
      <c r="H76" s="2">
        <v>-29396.15</v>
      </c>
      <c r="I76" s="2">
        <v>6311.64</v>
      </c>
      <c r="J76" s="2">
        <v>244103.77</v>
      </c>
      <c r="K76" s="2">
        <f>Tabela1[[#This Row],[Saldo Conta Corrente]]+Tabela1[[#This Row],[Saldo Contas de Aplicação]]</f>
        <v>250415.41</v>
      </c>
      <c r="L76" s="3">
        <v>1.4076388888888889</v>
      </c>
      <c r="M76" t="s">
        <v>15</v>
      </c>
      <c r="N76" s="3">
        <v>0.3</v>
      </c>
    </row>
    <row r="77" spans="1:14" x14ac:dyDescent="0.25">
      <c r="A77" s="1">
        <v>46143</v>
      </c>
      <c r="B77" s="2">
        <v>28000</v>
      </c>
      <c r="C77" s="2">
        <v>37471.82</v>
      </c>
      <c r="D77" s="2">
        <f t="shared" si="0"/>
        <v>19733.759999999998</v>
      </c>
      <c r="E77" s="2">
        <v>75134.210000000006</v>
      </c>
      <c r="F77" s="2">
        <v>65471.82</v>
      </c>
      <c r="G77" s="2">
        <v>94867.97</v>
      </c>
      <c r="H77" s="2">
        <v>-29396.15</v>
      </c>
      <c r="I77" s="2">
        <v>6311.64</v>
      </c>
      <c r="J77" s="2">
        <v>244103.77</v>
      </c>
      <c r="K77" s="2">
        <f>Tabela1[[#This Row],[Saldo Conta Corrente]]+Tabela1[[#This Row],[Saldo Contas de Aplicação]]</f>
        <v>250415.41</v>
      </c>
      <c r="L77" s="3">
        <v>1.4076388888888889</v>
      </c>
      <c r="M77" t="s">
        <v>19</v>
      </c>
      <c r="N77" s="3">
        <v>0.16875000000000001</v>
      </c>
    </row>
    <row r="78" spans="1:14" x14ac:dyDescent="0.25">
      <c r="A78" s="1">
        <v>46174</v>
      </c>
      <c r="B78" s="2">
        <v>28000</v>
      </c>
      <c r="C78" s="2">
        <v>68019.509999999995</v>
      </c>
      <c r="D78" s="2">
        <v>7371.78</v>
      </c>
      <c r="E78" s="2">
        <v>67218.45</v>
      </c>
      <c r="F78" s="2">
        <f>Tabela1[[#This Row],[Receitas Fixas]]+Tabela1[[#This Row],[Receitas Variáveis]]</f>
        <v>96019.51</v>
      </c>
      <c r="G78" s="2">
        <f>Tabela1[[#This Row],[Despesas Fixas]]+Tabela1[[#This Row],[Despesas Variáveis]]</f>
        <v>74590.23</v>
      </c>
      <c r="H78" s="2">
        <v>21429.279999999999</v>
      </c>
      <c r="I78" s="2">
        <v>0</v>
      </c>
      <c r="J78" s="2">
        <v>274671.71999999997</v>
      </c>
      <c r="K78" s="2">
        <f>Tabela1[[#This Row],[Saldo Conta Corrente]]+Tabela1[[#This Row],[Saldo Contas de Aplicação]]</f>
        <v>274671.71999999997</v>
      </c>
      <c r="L78" s="3">
        <v>1.2472222222222222</v>
      </c>
      <c r="M78" t="s">
        <v>14</v>
      </c>
      <c r="N78" s="3">
        <v>0.15833333333333333</v>
      </c>
    </row>
    <row r="79" spans="1:14" x14ac:dyDescent="0.25">
      <c r="A79" s="1">
        <v>46174</v>
      </c>
      <c r="B79" s="2">
        <v>28000</v>
      </c>
      <c r="C79" s="2">
        <v>68019.509999999995</v>
      </c>
      <c r="D79" s="2">
        <v>7371.78</v>
      </c>
      <c r="E79" s="2">
        <v>67218.45</v>
      </c>
      <c r="F79" s="2">
        <f>Tabela1[[#This Row],[Receitas Fixas]]+Tabela1[[#This Row],[Receitas Variáveis]]</f>
        <v>96019.51</v>
      </c>
      <c r="G79" s="2">
        <f>Tabela1[[#This Row],[Despesas Fixas]]+Tabela1[[#This Row],[Despesas Variáveis]]</f>
        <v>74590.23</v>
      </c>
      <c r="H79" s="2">
        <v>21429.279999999999</v>
      </c>
      <c r="I79" s="2">
        <v>0</v>
      </c>
      <c r="J79" s="2">
        <v>274671.71999999997</v>
      </c>
      <c r="K79" s="2">
        <f>Tabela1[[#This Row],[Saldo Conta Corrente]]+Tabela1[[#This Row],[Saldo Contas de Aplicação]]</f>
        <v>274671.71999999997</v>
      </c>
      <c r="L79" s="3">
        <v>1.2472222222222222</v>
      </c>
      <c r="M79" t="s">
        <v>17</v>
      </c>
      <c r="N79" s="3">
        <v>2.4652777777777777E-2</v>
      </c>
    </row>
    <row r="80" spans="1:14" x14ac:dyDescent="0.25">
      <c r="A80" s="1">
        <v>46174</v>
      </c>
      <c r="B80" s="2">
        <v>28000</v>
      </c>
      <c r="C80" s="2">
        <v>68019.509999999995</v>
      </c>
      <c r="D80" s="2">
        <v>7371.78</v>
      </c>
      <c r="E80" s="2">
        <v>67218.45</v>
      </c>
      <c r="F80" s="2">
        <f>Tabela1[[#This Row],[Receitas Fixas]]+Tabela1[[#This Row],[Receitas Variáveis]]</f>
        <v>96019.51</v>
      </c>
      <c r="G80" s="2">
        <f>Tabela1[[#This Row],[Despesas Fixas]]+Tabela1[[#This Row],[Despesas Variáveis]]</f>
        <v>74590.23</v>
      </c>
      <c r="H80" s="2">
        <v>21429.279999999999</v>
      </c>
      <c r="I80" s="2">
        <v>0</v>
      </c>
      <c r="J80" s="2">
        <v>274671.71999999997</v>
      </c>
      <c r="K80" s="2">
        <f>Tabela1[[#This Row],[Saldo Conta Corrente]]+Tabela1[[#This Row],[Saldo Contas de Aplicação]]</f>
        <v>274671.71999999997</v>
      </c>
      <c r="L80" s="3">
        <v>1.2472222222222222</v>
      </c>
      <c r="M80" t="s">
        <v>16</v>
      </c>
      <c r="N80" s="3">
        <v>0.58506944444444442</v>
      </c>
    </row>
    <row r="81" spans="1:14" x14ac:dyDescent="0.25">
      <c r="A81" s="1">
        <v>46174</v>
      </c>
      <c r="B81" s="2">
        <v>28000</v>
      </c>
      <c r="C81" s="2">
        <v>68019.509999999995</v>
      </c>
      <c r="D81" s="2">
        <v>7371.78</v>
      </c>
      <c r="E81" s="2">
        <v>67218.45</v>
      </c>
      <c r="F81" s="2">
        <f>Tabela1[[#This Row],[Receitas Fixas]]+Tabela1[[#This Row],[Receitas Variáveis]]</f>
        <v>96019.51</v>
      </c>
      <c r="G81" s="2">
        <f>Tabela1[[#This Row],[Despesas Fixas]]+Tabela1[[#This Row],[Despesas Variáveis]]</f>
        <v>74590.23</v>
      </c>
      <c r="H81" s="2">
        <v>21429.279999999999</v>
      </c>
      <c r="I81" s="2">
        <v>0</v>
      </c>
      <c r="J81" s="2">
        <v>274671.71999999997</v>
      </c>
      <c r="K81" s="2">
        <f>Tabela1[[#This Row],[Saldo Conta Corrente]]+Tabela1[[#This Row],[Saldo Contas de Aplicação]]</f>
        <v>274671.71999999997</v>
      </c>
      <c r="L81" s="3">
        <v>1.2472222222222222</v>
      </c>
      <c r="M81" t="s">
        <v>24</v>
      </c>
      <c r="N81" s="3">
        <v>0.35902777777777778</v>
      </c>
    </row>
    <row r="82" spans="1:14" x14ac:dyDescent="0.25">
      <c r="A82" s="1">
        <v>46174</v>
      </c>
      <c r="B82" s="2">
        <v>28000</v>
      </c>
      <c r="C82" s="2">
        <v>68019.509999999995</v>
      </c>
      <c r="D82" s="2">
        <v>7371.78</v>
      </c>
      <c r="E82" s="2">
        <v>67218.45</v>
      </c>
      <c r="F82" s="2">
        <f>Tabela1[[#This Row],[Receitas Fixas]]+Tabela1[[#This Row],[Receitas Variáveis]]</f>
        <v>96019.51</v>
      </c>
      <c r="G82" s="2">
        <f>Tabela1[[#This Row],[Despesas Fixas]]+Tabela1[[#This Row],[Despesas Variáveis]]</f>
        <v>74590.23</v>
      </c>
      <c r="H82" s="2">
        <v>21429.279999999999</v>
      </c>
      <c r="I82" s="2">
        <v>0</v>
      </c>
      <c r="J82" s="2">
        <v>274671.71999999997</v>
      </c>
      <c r="K82" s="2">
        <f>Tabela1[[#This Row],[Saldo Conta Corrente]]+Tabela1[[#This Row],[Saldo Contas de Aplicação]]</f>
        <v>274671.71999999997</v>
      </c>
      <c r="L82" s="3">
        <v>1.2472222222222222</v>
      </c>
      <c r="M82" t="s">
        <v>22</v>
      </c>
      <c r="N82" s="3">
        <v>0.12013888888888889</v>
      </c>
    </row>
    <row r="83" spans="1:14" x14ac:dyDescent="0.25">
      <c r="A83" s="1">
        <v>46204</v>
      </c>
      <c r="B83" s="2">
        <v>28000</v>
      </c>
      <c r="C83" s="2">
        <f>93319.96-Tabela1[[#This Row],[Receitas Fixas]]</f>
        <v>65319.960000000006</v>
      </c>
      <c r="D83" s="2">
        <f>18918.5+2031.43+1943.18+400</f>
        <v>23293.11</v>
      </c>
      <c r="E83" s="2">
        <f>156892.23-Tabela1[[#This Row],[Despesas Fixas]]</f>
        <v>133599.12</v>
      </c>
      <c r="F83" s="2">
        <f>Tabela1[[#This Row],[Receitas Fixas]]+Tabela1[[#This Row],[Receitas Variáveis]]</f>
        <v>93319.96</v>
      </c>
      <c r="G83" s="2">
        <f>Tabela1[[#This Row],[Despesas Fixas]]+Tabela1[[#This Row],[Despesas Variáveis]]</f>
        <v>156892.22999999998</v>
      </c>
      <c r="H83" s="2">
        <v>-63572.27</v>
      </c>
      <c r="I83" s="2">
        <v>19168.650000000001</v>
      </c>
      <c r="J83" s="2">
        <v>193311.3</v>
      </c>
      <c r="K83" s="2">
        <f>Tabela1[[#This Row],[Saldo Conta Corrente]]+Tabela1[[#This Row],[Saldo Contas de Aplicação]]</f>
        <v>212479.94999999998</v>
      </c>
      <c r="L83" s="3">
        <v>0.93263888888888891</v>
      </c>
      <c r="M83" t="s">
        <v>17</v>
      </c>
      <c r="N83" s="3">
        <v>0.28333333333333333</v>
      </c>
    </row>
    <row r="84" spans="1:14" x14ac:dyDescent="0.25">
      <c r="A84" s="1">
        <v>46204</v>
      </c>
      <c r="B84" s="2">
        <v>28000</v>
      </c>
      <c r="C84" s="2">
        <f>93319.96-Tabela1[[#This Row],[Receitas Fixas]]</f>
        <v>65319.960000000006</v>
      </c>
      <c r="D84" s="2">
        <f t="shared" ref="D84:D87" si="1">18918.5+2031.43+1943.18+400</f>
        <v>23293.11</v>
      </c>
      <c r="E84" s="2">
        <f>156892.23-Tabela1[[#This Row],[Despesas Fixas]]</f>
        <v>133599.12</v>
      </c>
      <c r="F84" s="2">
        <f>Tabela1[[#This Row],[Receitas Fixas]]+Tabela1[[#This Row],[Receitas Variáveis]]</f>
        <v>93319.96</v>
      </c>
      <c r="G84" s="2">
        <f>Tabela1[[#This Row],[Despesas Fixas]]+Tabela1[[#This Row],[Despesas Variáveis]]</f>
        <v>156892.22999999998</v>
      </c>
      <c r="H84" s="2">
        <v>-63572.27</v>
      </c>
      <c r="I84" s="2">
        <v>19168.650000000001</v>
      </c>
      <c r="J84" s="2">
        <v>193311.3</v>
      </c>
      <c r="K84" s="2">
        <f>Tabela1[[#This Row],[Saldo Conta Corrente]]+Tabela1[[#This Row],[Saldo Contas de Aplicação]]</f>
        <v>212479.94999999998</v>
      </c>
      <c r="L84" s="3">
        <v>0.93263888888888891</v>
      </c>
      <c r="M84" t="s">
        <v>16</v>
      </c>
      <c r="N84" s="3">
        <v>0.16944444444444445</v>
      </c>
    </row>
    <row r="85" spans="1:14" x14ac:dyDescent="0.25">
      <c r="A85" s="1">
        <v>46204</v>
      </c>
      <c r="B85" s="2">
        <v>28000</v>
      </c>
      <c r="C85" s="2">
        <f>93319.96-Tabela1[[#This Row],[Receitas Fixas]]</f>
        <v>65319.960000000006</v>
      </c>
      <c r="D85" s="2">
        <f t="shared" si="1"/>
        <v>23293.11</v>
      </c>
      <c r="E85" s="2">
        <f>156892.23-Tabela1[[#This Row],[Despesas Fixas]]</f>
        <v>133599.12</v>
      </c>
      <c r="F85" s="2">
        <f>Tabela1[[#This Row],[Receitas Fixas]]+Tabela1[[#This Row],[Receitas Variáveis]]</f>
        <v>93319.96</v>
      </c>
      <c r="G85" s="2">
        <f>Tabela1[[#This Row],[Despesas Fixas]]+Tabela1[[#This Row],[Despesas Variáveis]]</f>
        <v>156892.22999999998</v>
      </c>
      <c r="H85" s="2">
        <v>-63572.27</v>
      </c>
      <c r="I85" s="2">
        <v>19168.650000000001</v>
      </c>
      <c r="J85" s="2">
        <v>193311.3</v>
      </c>
      <c r="K85" s="2">
        <f>Tabela1[[#This Row],[Saldo Conta Corrente]]+Tabela1[[#This Row],[Saldo Contas de Aplicação]]</f>
        <v>212479.94999999998</v>
      </c>
      <c r="L85" s="3">
        <v>0.93263888888888891</v>
      </c>
      <c r="M85" t="s">
        <v>24</v>
      </c>
      <c r="N85" s="3">
        <v>0.37430555555555556</v>
      </c>
    </row>
    <row r="86" spans="1:14" x14ac:dyDescent="0.25">
      <c r="A86" s="1">
        <v>46204</v>
      </c>
      <c r="B86" s="2">
        <v>28000</v>
      </c>
      <c r="C86" s="2">
        <f>93319.96-Tabela1[[#This Row],[Receitas Fixas]]</f>
        <v>65319.960000000006</v>
      </c>
      <c r="D86" s="2">
        <f t="shared" si="1"/>
        <v>23293.11</v>
      </c>
      <c r="E86" s="2">
        <f>156892.23-Tabela1[[#This Row],[Despesas Fixas]]</f>
        <v>133599.12</v>
      </c>
      <c r="F86" s="2">
        <f>Tabela1[[#This Row],[Receitas Fixas]]+Tabela1[[#This Row],[Receitas Variáveis]]</f>
        <v>93319.96</v>
      </c>
      <c r="G86" s="2">
        <f>Tabela1[[#This Row],[Despesas Fixas]]+Tabela1[[#This Row],[Despesas Variáveis]]</f>
        <v>156892.22999999998</v>
      </c>
      <c r="H86" s="2">
        <v>-63572.27</v>
      </c>
      <c r="I86" s="2">
        <v>19168.650000000001</v>
      </c>
      <c r="J86" s="2">
        <v>193311.3</v>
      </c>
      <c r="K86" s="2">
        <f>Tabela1[[#This Row],[Saldo Conta Corrente]]+Tabela1[[#This Row],[Saldo Contas de Aplicação]]</f>
        <v>212479.94999999998</v>
      </c>
      <c r="L86" s="3">
        <v>0.93263888888888891</v>
      </c>
      <c r="M86" t="s">
        <v>15</v>
      </c>
      <c r="N86" s="3">
        <v>0.10555555555555556</v>
      </c>
    </row>
    <row r="87" spans="1:14" x14ac:dyDescent="0.25">
      <c r="A87" s="1">
        <v>46204</v>
      </c>
      <c r="B87" s="2">
        <v>28000</v>
      </c>
      <c r="C87" s="2">
        <f>93319.96-Tabela1[[#This Row],[Receitas Fixas]]</f>
        <v>65319.960000000006</v>
      </c>
      <c r="D87" s="2">
        <f t="shared" si="1"/>
        <v>23293.11</v>
      </c>
      <c r="E87" s="2">
        <f>156892.23-Tabela1[[#This Row],[Despesas Fixas]]</f>
        <v>133599.12</v>
      </c>
      <c r="F87" s="2">
        <f>Tabela1[[#This Row],[Receitas Fixas]]+Tabela1[[#This Row],[Receitas Variáveis]]</f>
        <v>93319.96</v>
      </c>
      <c r="G87" s="2">
        <f>Tabela1[[#This Row],[Despesas Fixas]]+Tabela1[[#This Row],[Despesas Variáveis]]</f>
        <v>156892.22999999998</v>
      </c>
      <c r="H87" s="2">
        <v>-63572.27</v>
      </c>
      <c r="I87" s="2">
        <v>19168.650000000001</v>
      </c>
      <c r="J87" s="2">
        <v>193311.3</v>
      </c>
      <c r="K87" s="2">
        <f>Tabela1[[#This Row],[Saldo Conta Corrente]]+Tabela1[[#This Row],[Saldo Contas de Aplicação]]</f>
        <v>212479.94999999998</v>
      </c>
      <c r="L87" s="3">
        <v>0.93263888888888891</v>
      </c>
      <c r="M87" t="s">
        <v>14</v>
      </c>
      <c r="N87" s="3">
        <v>0.12847222222222221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35A7-AD09-4FE0-ACFD-C89086CACEA9}">
  <dimension ref="A1:Y64"/>
  <sheetViews>
    <sheetView showGridLines="0" topLeftCell="A9" workbookViewId="0">
      <selection activeCell="L14" sqref="L14"/>
    </sheetView>
  </sheetViews>
  <sheetFormatPr defaultRowHeight="15" x14ac:dyDescent="0.25"/>
  <cols>
    <col min="1" max="1" width="39.7109375" customWidth="1"/>
    <col min="2" max="20" width="15.7109375" customWidth="1"/>
  </cols>
  <sheetData>
    <row r="1" spans="1:20" ht="18.75" x14ac:dyDescent="0.25">
      <c r="A1" s="6" t="s">
        <v>25</v>
      </c>
      <c r="B1" s="32" t="s">
        <v>26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3"/>
      <c r="T1" s="34"/>
    </row>
    <row r="2" spans="1:20" ht="15.75" x14ac:dyDescent="0.25">
      <c r="A2" s="7" t="s">
        <v>27</v>
      </c>
      <c r="B2" s="4">
        <v>45658</v>
      </c>
      <c r="C2" s="4">
        <v>45689</v>
      </c>
      <c r="D2" s="4">
        <v>45717</v>
      </c>
      <c r="E2" s="4">
        <v>45748</v>
      </c>
      <c r="F2" s="4">
        <v>45778</v>
      </c>
      <c r="G2" s="4">
        <v>45809</v>
      </c>
      <c r="H2" s="4">
        <v>45839</v>
      </c>
      <c r="I2" s="4">
        <v>45870</v>
      </c>
      <c r="J2" s="4">
        <v>45901</v>
      </c>
      <c r="K2" s="4">
        <v>45931</v>
      </c>
      <c r="L2" s="4">
        <v>45962</v>
      </c>
      <c r="M2" s="4">
        <v>45992</v>
      </c>
      <c r="N2" s="4">
        <v>46023</v>
      </c>
      <c r="O2" s="4">
        <v>46054</v>
      </c>
      <c r="P2" s="4">
        <v>46082</v>
      </c>
      <c r="Q2" s="4">
        <v>46113</v>
      </c>
      <c r="R2" s="4">
        <v>46143</v>
      </c>
      <c r="S2" s="4">
        <v>46174</v>
      </c>
      <c r="T2" s="23">
        <v>46204</v>
      </c>
    </row>
    <row r="3" spans="1:20" ht="15.75" x14ac:dyDescent="0.25">
      <c r="A3" s="8" t="s">
        <v>28</v>
      </c>
      <c r="B3" s="9" t="s">
        <v>29</v>
      </c>
      <c r="C3" s="9" t="s">
        <v>30</v>
      </c>
      <c r="D3" s="9" t="s">
        <v>31</v>
      </c>
      <c r="E3" s="9" t="s">
        <v>32</v>
      </c>
      <c r="F3" s="9" t="s">
        <v>33</v>
      </c>
      <c r="G3" s="9" t="s">
        <v>34</v>
      </c>
      <c r="H3" s="9" t="s">
        <v>35</v>
      </c>
      <c r="I3" s="9" t="s">
        <v>36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 t="s">
        <v>44</v>
      </c>
      <c r="R3" s="9" t="s">
        <v>45</v>
      </c>
      <c r="S3" s="9" t="s">
        <v>437</v>
      </c>
      <c r="T3" s="24" t="s">
        <v>462</v>
      </c>
    </row>
    <row r="4" spans="1:20" ht="15.75" x14ac:dyDescent="0.25">
      <c r="A4" s="10" t="s">
        <v>46</v>
      </c>
      <c r="B4" s="11" t="s">
        <v>47</v>
      </c>
      <c r="C4" s="11" t="s">
        <v>48</v>
      </c>
      <c r="D4" s="11" t="s">
        <v>49</v>
      </c>
      <c r="E4" s="11" t="s">
        <v>50</v>
      </c>
      <c r="F4" s="11" t="s">
        <v>51</v>
      </c>
      <c r="G4" s="11" t="s">
        <v>52</v>
      </c>
      <c r="H4" s="11" t="s">
        <v>53</v>
      </c>
      <c r="I4" s="11" t="s">
        <v>54</v>
      </c>
      <c r="J4" s="11" t="s">
        <v>55</v>
      </c>
      <c r="K4" s="11" t="s">
        <v>56</v>
      </c>
      <c r="L4" s="11" t="s">
        <v>57</v>
      </c>
      <c r="M4" s="11" t="s">
        <v>58</v>
      </c>
      <c r="N4" s="11" t="s">
        <v>59</v>
      </c>
      <c r="O4" s="11" t="s">
        <v>60</v>
      </c>
      <c r="P4" s="11" t="s">
        <v>61</v>
      </c>
      <c r="Q4" s="11" t="s">
        <v>62</v>
      </c>
      <c r="R4" s="11" t="s">
        <v>63</v>
      </c>
      <c r="S4" s="11" t="s">
        <v>438</v>
      </c>
      <c r="T4" s="25" t="s">
        <v>463</v>
      </c>
    </row>
    <row r="5" spans="1:20" ht="15.75" x14ac:dyDescent="0.25">
      <c r="A5" s="12" t="s">
        <v>64</v>
      </c>
      <c r="B5" s="13" t="s">
        <v>47</v>
      </c>
      <c r="C5" s="13" t="s">
        <v>48</v>
      </c>
      <c r="D5" s="13" t="s">
        <v>49</v>
      </c>
      <c r="E5" s="13" t="s">
        <v>50</v>
      </c>
      <c r="F5" s="13" t="s">
        <v>51</v>
      </c>
      <c r="G5" s="13" t="s">
        <v>52</v>
      </c>
      <c r="H5" s="13" t="s">
        <v>53</v>
      </c>
      <c r="I5" s="13" t="s">
        <v>54</v>
      </c>
      <c r="J5" s="13" t="s">
        <v>55</v>
      </c>
      <c r="K5" s="13" t="s">
        <v>56</v>
      </c>
      <c r="L5" s="13" t="s">
        <v>57</v>
      </c>
      <c r="M5" s="13" t="s">
        <v>58</v>
      </c>
      <c r="N5" s="13" t="s">
        <v>59</v>
      </c>
      <c r="O5" s="13" t="s">
        <v>60</v>
      </c>
      <c r="P5" s="13" t="s">
        <v>61</v>
      </c>
      <c r="Q5" s="13" t="s">
        <v>62</v>
      </c>
      <c r="R5" s="13" t="s">
        <v>63</v>
      </c>
      <c r="S5" s="13" t="s">
        <v>438</v>
      </c>
      <c r="T5" s="26" t="s">
        <v>463</v>
      </c>
    </row>
    <row r="6" spans="1:20" ht="15.75" x14ac:dyDescent="0.25">
      <c r="A6" s="12" t="s">
        <v>65</v>
      </c>
      <c r="B6" s="13" t="s">
        <v>66</v>
      </c>
      <c r="C6" s="13">
        <v>424.74</v>
      </c>
      <c r="D6" s="13" t="s">
        <v>67</v>
      </c>
      <c r="E6" s="13" t="s">
        <v>68</v>
      </c>
      <c r="F6" s="13" t="s">
        <v>69</v>
      </c>
      <c r="G6" s="13" t="s">
        <v>70</v>
      </c>
      <c r="H6" s="13" t="s">
        <v>71</v>
      </c>
      <c r="I6" s="13" t="s">
        <v>72</v>
      </c>
      <c r="J6" s="13" t="s">
        <v>73</v>
      </c>
      <c r="K6" s="13" t="s">
        <v>74</v>
      </c>
      <c r="L6" s="13" t="s">
        <v>75</v>
      </c>
      <c r="M6" s="13" t="s">
        <v>76</v>
      </c>
      <c r="N6" s="13" t="s">
        <v>77</v>
      </c>
      <c r="O6" s="13" t="s">
        <v>78</v>
      </c>
      <c r="P6" s="13" t="s">
        <v>79</v>
      </c>
      <c r="Q6" s="13" t="s">
        <v>80</v>
      </c>
      <c r="R6" s="13" t="s">
        <v>81</v>
      </c>
      <c r="S6" s="13" t="s">
        <v>439</v>
      </c>
      <c r="T6" s="26" t="s">
        <v>464</v>
      </c>
    </row>
    <row r="7" spans="1:20" ht="15.75" x14ac:dyDescent="0.25">
      <c r="A7" s="12" t="s">
        <v>82</v>
      </c>
      <c r="B7" s="13" t="s">
        <v>83</v>
      </c>
      <c r="C7" s="13" t="s">
        <v>84</v>
      </c>
      <c r="D7" s="13">
        <v>0</v>
      </c>
      <c r="E7" s="13" t="s">
        <v>85</v>
      </c>
      <c r="F7" s="13" t="s">
        <v>86</v>
      </c>
      <c r="G7" s="13">
        <v>0</v>
      </c>
      <c r="H7" s="13" t="s">
        <v>87</v>
      </c>
      <c r="I7" s="13">
        <v>902.17</v>
      </c>
      <c r="J7" s="13">
        <v>878.39</v>
      </c>
      <c r="K7" s="13">
        <v>878.39</v>
      </c>
      <c r="L7" s="13" t="s">
        <v>88</v>
      </c>
      <c r="M7" s="13" t="s">
        <v>89</v>
      </c>
      <c r="N7" s="13">
        <v>662.44</v>
      </c>
      <c r="O7" s="13" t="s">
        <v>90</v>
      </c>
      <c r="P7" s="13" t="s">
        <v>91</v>
      </c>
      <c r="Q7" s="13" t="s">
        <v>92</v>
      </c>
      <c r="R7" s="13" t="s">
        <v>93</v>
      </c>
      <c r="S7" s="13" t="s">
        <v>440</v>
      </c>
      <c r="T7" s="26" t="s">
        <v>465</v>
      </c>
    </row>
    <row r="8" spans="1:20" ht="15.75" x14ac:dyDescent="0.25">
      <c r="A8" s="12" t="s">
        <v>94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700</v>
      </c>
      <c r="K8" s="13" t="s">
        <v>95</v>
      </c>
      <c r="L8" s="13">
        <v>700</v>
      </c>
      <c r="M8" s="13">
        <v>0</v>
      </c>
      <c r="N8" s="14"/>
      <c r="O8" s="14"/>
      <c r="P8" s="14"/>
      <c r="Q8" s="14"/>
      <c r="R8" s="14"/>
      <c r="S8" s="14"/>
      <c r="T8" s="27"/>
    </row>
    <row r="9" spans="1:20" ht="15.75" x14ac:dyDescent="0.25">
      <c r="A9" s="12" t="s">
        <v>96</v>
      </c>
      <c r="B9" s="13" t="s">
        <v>97</v>
      </c>
      <c r="C9" s="13" t="s">
        <v>98</v>
      </c>
      <c r="D9" s="13" t="s">
        <v>99</v>
      </c>
      <c r="E9" s="13" t="s">
        <v>100</v>
      </c>
      <c r="F9" s="13" t="s">
        <v>101</v>
      </c>
      <c r="G9" s="13" t="s">
        <v>102</v>
      </c>
      <c r="H9" s="13" t="s">
        <v>103</v>
      </c>
      <c r="I9" s="13" t="s">
        <v>104</v>
      </c>
      <c r="J9" s="13" t="s">
        <v>105</v>
      </c>
      <c r="K9" s="13" t="s">
        <v>106</v>
      </c>
      <c r="L9" s="13" t="s">
        <v>107</v>
      </c>
      <c r="M9" s="13" t="s">
        <v>108</v>
      </c>
      <c r="N9" s="13" t="s">
        <v>109</v>
      </c>
      <c r="O9" s="13" t="s">
        <v>110</v>
      </c>
      <c r="P9" s="13" t="s">
        <v>111</v>
      </c>
      <c r="Q9" s="13" t="s">
        <v>112</v>
      </c>
      <c r="R9" s="13" t="s">
        <v>113</v>
      </c>
      <c r="S9" s="13" t="s">
        <v>441</v>
      </c>
      <c r="T9" s="26" t="s">
        <v>466</v>
      </c>
    </row>
    <row r="10" spans="1:20" ht="15.75" x14ac:dyDescent="0.25">
      <c r="A10" s="12" t="s">
        <v>114</v>
      </c>
      <c r="B10" s="13" t="s">
        <v>115</v>
      </c>
      <c r="C10" s="13" t="s">
        <v>116</v>
      </c>
      <c r="D10" s="13">
        <v>0</v>
      </c>
      <c r="E10" s="13">
        <v>679.6</v>
      </c>
      <c r="F10" s="13" t="s">
        <v>117</v>
      </c>
      <c r="G10" s="13" t="s">
        <v>118</v>
      </c>
      <c r="H10" s="13" t="s">
        <v>119</v>
      </c>
      <c r="I10" s="13" t="s">
        <v>120</v>
      </c>
      <c r="J10" s="13" t="s">
        <v>121</v>
      </c>
      <c r="K10" s="13" t="s">
        <v>122</v>
      </c>
      <c r="L10" s="13">
        <v>892.2</v>
      </c>
      <c r="M10" s="13" t="s">
        <v>123</v>
      </c>
      <c r="N10" s="13" t="s">
        <v>124</v>
      </c>
      <c r="O10" s="13" t="s">
        <v>125</v>
      </c>
      <c r="P10" s="13" t="s">
        <v>126</v>
      </c>
      <c r="Q10" s="13" t="s">
        <v>127</v>
      </c>
      <c r="R10" s="13" t="s">
        <v>128</v>
      </c>
      <c r="S10" s="13" t="s">
        <v>442</v>
      </c>
      <c r="T10" s="26" t="s">
        <v>467</v>
      </c>
    </row>
    <row r="11" spans="1:20" ht="15.75" x14ac:dyDescent="0.25">
      <c r="A11" s="12" t="s">
        <v>129</v>
      </c>
      <c r="B11" s="13" t="s">
        <v>130</v>
      </c>
      <c r="C11" s="13" t="s">
        <v>130</v>
      </c>
      <c r="D11" s="13" t="s">
        <v>130</v>
      </c>
      <c r="E11" s="13" t="s">
        <v>130</v>
      </c>
      <c r="F11" s="13" t="s">
        <v>130</v>
      </c>
      <c r="G11" s="13" t="s">
        <v>130</v>
      </c>
      <c r="H11" s="13" t="s">
        <v>130</v>
      </c>
      <c r="I11" s="13" t="s">
        <v>130</v>
      </c>
      <c r="J11" s="13" t="s">
        <v>130</v>
      </c>
      <c r="K11" s="13" t="s">
        <v>130</v>
      </c>
      <c r="L11" s="13" t="s">
        <v>130</v>
      </c>
      <c r="M11" s="13" t="s">
        <v>130</v>
      </c>
      <c r="N11" s="13" t="s">
        <v>130</v>
      </c>
      <c r="O11" s="13" t="s">
        <v>131</v>
      </c>
      <c r="P11" s="13" t="s">
        <v>130</v>
      </c>
      <c r="Q11" s="13" t="s">
        <v>130</v>
      </c>
      <c r="R11" s="13" t="s">
        <v>130</v>
      </c>
      <c r="S11" s="13" t="s">
        <v>130</v>
      </c>
      <c r="T11" s="26" t="s">
        <v>130</v>
      </c>
    </row>
    <row r="12" spans="1:20" ht="15.75" x14ac:dyDescent="0.25">
      <c r="A12" s="12" t="s">
        <v>132</v>
      </c>
      <c r="B12" s="13">
        <v>826.46</v>
      </c>
      <c r="C12" s="13">
        <v>553.86</v>
      </c>
      <c r="D12" s="13">
        <v>895.35</v>
      </c>
      <c r="E12" s="13">
        <v>824.44</v>
      </c>
      <c r="F12" s="13">
        <v>723.2</v>
      </c>
      <c r="G12" s="13" t="s">
        <v>133</v>
      </c>
      <c r="H12" s="13">
        <v>299.82</v>
      </c>
      <c r="I12" s="13" t="s">
        <v>134</v>
      </c>
      <c r="J12" s="13" t="s">
        <v>135</v>
      </c>
      <c r="K12" s="13" t="s">
        <v>136</v>
      </c>
      <c r="L12" s="13">
        <v>938.92</v>
      </c>
      <c r="M12" s="13" t="s">
        <v>137</v>
      </c>
      <c r="N12" s="13">
        <v>499.06</v>
      </c>
      <c r="O12" s="13">
        <v>421.55</v>
      </c>
      <c r="P12" s="13">
        <v>498.88</v>
      </c>
      <c r="Q12" s="14"/>
      <c r="R12" s="13">
        <v>143.83000000000001</v>
      </c>
      <c r="S12" s="13" t="s">
        <v>443</v>
      </c>
      <c r="T12" s="26">
        <v>231.55</v>
      </c>
    </row>
    <row r="13" spans="1:20" ht="15.75" x14ac:dyDescent="0.25">
      <c r="A13" s="10" t="s">
        <v>138</v>
      </c>
      <c r="B13" s="11">
        <v>6</v>
      </c>
      <c r="C13" s="11">
        <v>4.8</v>
      </c>
      <c r="D13" s="11">
        <v>5.7</v>
      </c>
      <c r="E13" s="11">
        <v>6</v>
      </c>
      <c r="F13" s="11">
        <v>6.6</v>
      </c>
      <c r="G13" s="11">
        <v>5.0999999999999996</v>
      </c>
      <c r="H13" s="11">
        <v>6.3</v>
      </c>
      <c r="I13" s="11">
        <v>9.3000000000000007</v>
      </c>
      <c r="J13" s="11">
        <v>8.1</v>
      </c>
      <c r="K13" s="11">
        <v>6.3</v>
      </c>
      <c r="L13" s="11">
        <v>5.4</v>
      </c>
      <c r="M13" s="11">
        <v>4.2</v>
      </c>
      <c r="N13" s="11">
        <v>5.4</v>
      </c>
      <c r="O13" s="11">
        <v>5.7</v>
      </c>
      <c r="P13" s="11">
        <v>6.9</v>
      </c>
      <c r="Q13" s="11">
        <v>4.2</v>
      </c>
      <c r="R13" s="11">
        <v>6.6</v>
      </c>
      <c r="S13" s="11">
        <v>10.199999999999999</v>
      </c>
      <c r="T13" s="25">
        <v>7.2</v>
      </c>
    </row>
    <row r="14" spans="1:20" ht="15.75" x14ac:dyDescent="0.25">
      <c r="A14" s="12" t="s">
        <v>139</v>
      </c>
      <c r="B14" s="13">
        <v>6</v>
      </c>
      <c r="C14" s="13">
        <v>4.8</v>
      </c>
      <c r="D14" s="13">
        <v>5.7</v>
      </c>
      <c r="E14" s="13">
        <v>6</v>
      </c>
      <c r="F14" s="13">
        <v>6.6</v>
      </c>
      <c r="G14" s="13">
        <v>5.0999999999999996</v>
      </c>
      <c r="H14" s="13">
        <v>6.3</v>
      </c>
      <c r="I14" s="13">
        <v>9.3000000000000007</v>
      </c>
      <c r="J14" s="13">
        <v>8.1</v>
      </c>
      <c r="K14" s="13">
        <v>6.3</v>
      </c>
      <c r="L14" s="13">
        <v>5.4</v>
      </c>
      <c r="M14" s="13">
        <v>4.2</v>
      </c>
      <c r="N14" s="13">
        <v>5.4</v>
      </c>
      <c r="O14" s="13">
        <v>5.7</v>
      </c>
      <c r="P14" s="13">
        <v>6.9</v>
      </c>
      <c r="Q14" s="15">
        <v>4.2</v>
      </c>
      <c r="R14" s="15">
        <v>6.6</v>
      </c>
      <c r="S14" s="15">
        <v>10.199999999999999</v>
      </c>
      <c r="T14" s="28">
        <v>7.2</v>
      </c>
    </row>
    <row r="15" spans="1:20" ht="15.75" x14ac:dyDescent="0.25">
      <c r="A15" s="10" t="s">
        <v>140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 t="s">
        <v>141</v>
      </c>
      <c r="I15" s="11">
        <v>0</v>
      </c>
      <c r="J15" s="11" t="s">
        <v>142</v>
      </c>
      <c r="K15" s="11">
        <v>0</v>
      </c>
      <c r="L15" s="11">
        <v>0</v>
      </c>
      <c r="M15" s="11">
        <v>0</v>
      </c>
      <c r="N15" s="11" t="s">
        <v>143</v>
      </c>
      <c r="O15" s="11"/>
      <c r="P15" s="11"/>
      <c r="Q15" s="11"/>
      <c r="R15" s="11"/>
      <c r="S15" s="11"/>
      <c r="T15" s="25"/>
    </row>
    <row r="16" spans="1:20" ht="15.75" x14ac:dyDescent="0.25">
      <c r="A16" s="12" t="s">
        <v>144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 t="s">
        <v>145</v>
      </c>
      <c r="I16" s="13">
        <v>0</v>
      </c>
      <c r="J16" s="13" t="s">
        <v>142</v>
      </c>
      <c r="K16" s="13">
        <v>0</v>
      </c>
      <c r="L16" s="13">
        <v>0</v>
      </c>
      <c r="M16" s="13">
        <v>0</v>
      </c>
      <c r="N16" s="13" t="s">
        <v>143</v>
      </c>
      <c r="O16" s="13"/>
      <c r="P16" s="13"/>
      <c r="Q16" s="13"/>
      <c r="R16" s="13"/>
      <c r="S16" s="13"/>
      <c r="T16" s="26"/>
    </row>
    <row r="17" spans="1:20" ht="15.75" x14ac:dyDescent="0.25">
      <c r="A17" s="12" t="s">
        <v>146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360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/>
      <c r="O17" s="13"/>
      <c r="P17" s="13"/>
      <c r="Q17" s="13"/>
      <c r="R17" s="13"/>
      <c r="S17" s="13"/>
      <c r="T17" s="26"/>
    </row>
    <row r="18" spans="1:20" ht="15.75" x14ac:dyDescent="0.25">
      <c r="A18" s="8" t="s">
        <v>147</v>
      </c>
      <c r="B18" s="9" t="s">
        <v>148</v>
      </c>
      <c r="C18" s="9" t="s">
        <v>149</v>
      </c>
      <c r="D18" s="9" t="s">
        <v>150</v>
      </c>
      <c r="E18" s="9" t="s">
        <v>151</v>
      </c>
      <c r="F18" s="9" t="s">
        <v>152</v>
      </c>
      <c r="G18" s="9" t="s">
        <v>153</v>
      </c>
      <c r="H18" s="9" t="s">
        <v>154</v>
      </c>
      <c r="I18" s="9" t="s">
        <v>155</v>
      </c>
      <c r="J18" s="9" t="s">
        <v>156</v>
      </c>
      <c r="K18" s="9" t="s">
        <v>157</v>
      </c>
      <c r="L18" s="9" t="s">
        <v>158</v>
      </c>
      <c r="M18" s="9" t="s">
        <v>159</v>
      </c>
      <c r="N18" s="9" t="s">
        <v>160</v>
      </c>
      <c r="O18" s="9" t="s">
        <v>161</v>
      </c>
      <c r="P18" s="9" t="s">
        <v>162</v>
      </c>
      <c r="Q18" s="9" t="s">
        <v>163</v>
      </c>
      <c r="R18" s="9" t="s">
        <v>164</v>
      </c>
      <c r="S18" s="9" t="s">
        <v>444</v>
      </c>
      <c r="T18" s="24" t="s">
        <v>468</v>
      </c>
    </row>
    <row r="19" spans="1:20" ht="15.75" x14ac:dyDescent="0.25">
      <c r="A19" s="10" t="s">
        <v>165</v>
      </c>
      <c r="B19" s="11" t="s">
        <v>166</v>
      </c>
      <c r="C19" s="11" t="s">
        <v>167</v>
      </c>
      <c r="D19" s="11" t="s">
        <v>168</v>
      </c>
      <c r="E19" s="11" t="s">
        <v>169</v>
      </c>
      <c r="F19" s="11" t="s">
        <v>170</v>
      </c>
      <c r="G19" s="11" t="s">
        <v>171</v>
      </c>
      <c r="H19" s="11" t="s">
        <v>172</v>
      </c>
      <c r="I19" s="11" t="s">
        <v>173</v>
      </c>
      <c r="J19" s="11" t="s">
        <v>174</v>
      </c>
      <c r="K19" s="11" t="s">
        <v>175</v>
      </c>
      <c r="L19" s="11" t="s">
        <v>176</v>
      </c>
      <c r="M19" s="11" t="s">
        <v>177</v>
      </c>
      <c r="N19" s="11" t="s">
        <v>178</v>
      </c>
      <c r="O19" s="11" t="s">
        <v>179</v>
      </c>
      <c r="P19" s="11" t="s">
        <v>180</v>
      </c>
      <c r="Q19" s="11" t="s">
        <v>181</v>
      </c>
      <c r="R19" s="11" t="s">
        <v>182</v>
      </c>
      <c r="S19" s="11" t="s">
        <v>445</v>
      </c>
      <c r="T19" s="25" t="s">
        <v>469</v>
      </c>
    </row>
    <row r="20" spans="1:20" ht="15.75" x14ac:dyDescent="0.25">
      <c r="A20" s="10" t="s">
        <v>183</v>
      </c>
      <c r="B20" s="11" t="s">
        <v>184</v>
      </c>
      <c r="C20" s="11" t="s">
        <v>185</v>
      </c>
      <c r="D20" s="11" t="s">
        <v>185</v>
      </c>
      <c r="E20" s="11" t="s">
        <v>185</v>
      </c>
      <c r="F20" s="11" t="s">
        <v>185</v>
      </c>
      <c r="G20" s="11" t="s">
        <v>185</v>
      </c>
      <c r="H20" s="11" t="s">
        <v>185</v>
      </c>
      <c r="I20" s="11" t="s">
        <v>185</v>
      </c>
      <c r="J20" s="11" t="s">
        <v>185</v>
      </c>
      <c r="K20" s="11" t="s">
        <v>186</v>
      </c>
      <c r="L20" s="11" t="s">
        <v>186</v>
      </c>
      <c r="M20" s="11" t="s">
        <v>187</v>
      </c>
      <c r="N20" s="11" t="s">
        <v>188</v>
      </c>
      <c r="O20" s="11" t="s">
        <v>189</v>
      </c>
      <c r="P20" s="11" t="s">
        <v>190</v>
      </c>
      <c r="Q20" s="11" t="s">
        <v>191</v>
      </c>
      <c r="R20" s="11"/>
      <c r="S20" s="11" t="s">
        <v>190</v>
      </c>
      <c r="T20" s="25" t="s">
        <v>190</v>
      </c>
    </row>
    <row r="21" spans="1:20" ht="15.75" x14ac:dyDescent="0.25">
      <c r="A21" s="12" t="s">
        <v>192</v>
      </c>
      <c r="B21" s="13">
        <v>-188.1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-193.5</v>
      </c>
      <c r="O21" s="13">
        <v>-199</v>
      </c>
      <c r="P21" s="13">
        <v>0</v>
      </c>
      <c r="Q21" s="13"/>
      <c r="R21" s="13"/>
      <c r="S21" s="13"/>
      <c r="T21" s="26"/>
    </row>
    <row r="22" spans="1:20" ht="15.75" x14ac:dyDescent="0.25">
      <c r="A22" s="12" t="s">
        <v>193</v>
      </c>
      <c r="B22" s="13" t="s">
        <v>185</v>
      </c>
      <c r="C22" s="13" t="s">
        <v>185</v>
      </c>
      <c r="D22" s="13" t="s">
        <v>185</v>
      </c>
      <c r="E22" s="13" t="s">
        <v>185</v>
      </c>
      <c r="F22" s="13" t="s">
        <v>185</v>
      </c>
      <c r="G22" s="13" t="s">
        <v>185</v>
      </c>
      <c r="H22" s="13" t="s">
        <v>185</v>
      </c>
      <c r="I22" s="13" t="s">
        <v>185</v>
      </c>
      <c r="J22" s="13" t="s">
        <v>185</v>
      </c>
      <c r="K22" s="13" t="s">
        <v>186</v>
      </c>
      <c r="L22" s="13" t="s">
        <v>186</v>
      </c>
      <c r="M22" s="13" t="s">
        <v>187</v>
      </c>
      <c r="N22" s="13" t="s">
        <v>186</v>
      </c>
      <c r="O22" s="13" t="s">
        <v>186</v>
      </c>
      <c r="P22" s="13" t="s">
        <v>190</v>
      </c>
      <c r="Q22" s="13" t="s">
        <v>191</v>
      </c>
      <c r="R22" s="13"/>
      <c r="S22" s="13" t="s">
        <v>190</v>
      </c>
      <c r="T22" s="26" t="s">
        <v>190</v>
      </c>
    </row>
    <row r="23" spans="1:20" ht="15.75" x14ac:dyDescent="0.25">
      <c r="A23" s="10" t="s">
        <v>194</v>
      </c>
      <c r="B23" s="11">
        <v>0</v>
      </c>
      <c r="C23" s="11" t="s">
        <v>195</v>
      </c>
      <c r="D23" s="11">
        <v>0</v>
      </c>
      <c r="E23" s="11">
        <v>0</v>
      </c>
      <c r="F23" s="11">
        <v>0</v>
      </c>
      <c r="G23" s="11">
        <v>-616.13</v>
      </c>
      <c r="H23" s="11">
        <v>0</v>
      </c>
      <c r="I23" s="11">
        <v>-616.14</v>
      </c>
      <c r="J23" s="11">
        <v>-616.14</v>
      </c>
      <c r="K23" s="11" t="s">
        <v>196</v>
      </c>
      <c r="L23" s="11" t="s">
        <v>197</v>
      </c>
      <c r="M23" s="11" t="s">
        <v>197</v>
      </c>
      <c r="N23" s="11" t="s">
        <v>198</v>
      </c>
      <c r="O23" s="11"/>
      <c r="P23" s="11"/>
      <c r="Q23" s="11"/>
      <c r="R23" s="11"/>
      <c r="S23" s="11" t="s">
        <v>446</v>
      </c>
      <c r="T23" s="25">
        <v>-944.58</v>
      </c>
    </row>
    <row r="24" spans="1:20" ht="15.75" x14ac:dyDescent="0.25">
      <c r="A24" s="12" t="s">
        <v>460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>
        <v>-62.75</v>
      </c>
      <c r="T24" s="26">
        <v>0</v>
      </c>
    </row>
    <row r="25" spans="1:20" ht="15.75" x14ac:dyDescent="0.25">
      <c r="A25" s="12" t="s">
        <v>199</v>
      </c>
      <c r="B25" s="13">
        <v>0</v>
      </c>
      <c r="C25" s="13" t="s">
        <v>195</v>
      </c>
      <c r="D25" s="13">
        <v>0</v>
      </c>
      <c r="E25" s="13">
        <v>0</v>
      </c>
      <c r="F25" s="13">
        <v>0</v>
      </c>
      <c r="G25" s="13">
        <v>-616.13</v>
      </c>
      <c r="H25" s="13">
        <v>0</v>
      </c>
      <c r="I25" s="13">
        <v>-616.14</v>
      </c>
      <c r="J25" s="13">
        <v>-616.14</v>
      </c>
      <c r="K25" s="13" t="s">
        <v>196</v>
      </c>
      <c r="L25" s="13" t="s">
        <v>197</v>
      </c>
      <c r="M25" s="13" t="s">
        <v>197</v>
      </c>
      <c r="N25" s="13" t="s">
        <v>198</v>
      </c>
      <c r="O25" s="13"/>
      <c r="P25" s="13"/>
      <c r="Q25" s="13"/>
      <c r="R25" s="13"/>
      <c r="S25" s="13">
        <v>-944.58</v>
      </c>
      <c r="T25" s="26">
        <v>-944.58</v>
      </c>
    </row>
    <row r="26" spans="1:20" ht="15.75" x14ac:dyDescent="0.25">
      <c r="A26" s="10" t="s">
        <v>200</v>
      </c>
      <c r="B26" s="11" t="s">
        <v>201</v>
      </c>
      <c r="C26" s="11" t="s">
        <v>202</v>
      </c>
      <c r="D26" s="11" t="s">
        <v>203</v>
      </c>
      <c r="E26" s="11" t="s">
        <v>204</v>
      </c>
      <c r="F26" s="11" t="s">
        <v>205</v>
      </c>
      <c r="G26" s="11" t="s">
        <v>206</v>
      </c>
      <c r="H26" s="11" t="s">
        <v>207</v>
      </c>
      <c r="I26" s="11" t="s">
        <v>208</v>
      </c>
      <c r="J26" s="11" t="s">
        <v>209</v>
      </c>
      <c r="K26" s="11" t="s">
        <v>210</v>
      </c>
      <c r="L26" s="11" t="s">
        <v>211</v>
      </c>
      <c r="M26" s="11" t="s">
        <v>212</v>
      </c>
      <c r="N26" s="11" t="s">
        <v>213</v>
      </c>
      <c r="O26" s="11" t="s">
        <v>214</v>
      </c>
      <c r="P26" s="11" t="s">
        <v>215</v>
      </c>
      <c r="Q26" s="11" t="s">
        <v>216</v>
      </c>
      <c r="R26" s="11" t="s">
        <v>182</v>
      </c>
      <c r="S26" s="11" t="s">
        <v>447</v>
      </c>
      <c r="T26" s="25" t="s">
        <v>470</v>
      </c>
    </row>
    <row r="27" spans="1:20" ht="15.75" x14ac:dyDescent="0.25">
      <c r="A27" s="12" t="s">
        <v>217</v>
      </c>
      <c r="B27" s="13">
        <v>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 t="s">
        <v>218</v>
      </c>
      <c r="M27" s="13" t="s">
        <v>219</v>
      </c>
      <c r="N27" s="13"/>
      <c r="O27" s="13"/>
      <c r="P27" s="13">
        <v>-120</v>
      </c>
      <c r="Q27" s="13"/>
      <c r="R27" s="13"/>
      <c r="S27" s="13"/>
      <c r="T27" s="26"/>
    </row>
    <row r="28" spans="1:20" ht="15.75" x14ac:dyDescent="0.25">
      <c r="A28" s="12" t="s">
        <v>220</v>
      </c>
      <c r="B28" s="13">
        <v>0</v>
      </c>
      <c r="C28" s="13">
        <v>0</v>
      </c>
      <c r="D28" s="13">
        <v>-120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/>
      <c r="O28" s="13"/>
      <c r="P28" s="14"/>
      <c r="Q28" s="14"/>
      <c r="R28" s="14"/>
      <c r="S28" s="14"/>
      <c r="T28" s="27"/>
    </row>
    <row r="29" spans="1:20" ht="15.75" x14ac:dyDescent="0.25">
      <c r="A29" s="12" t="s">
        <v>221</v>
      </c>
      <c r="B29" s="13">
        <v>-516.66</v>
      </c>
      <c r="C29" s="13">
        <v>-412.64</v>
      </c>
      <c r="D29" s="13">
        <v>-412.64</v>
      </c>
      <c r="E29" s="13">
        <v>-412.64</v>
      </c>
      <c r="F29" s="13">
        <v>-412.64</v>
      </c>
      <c r="G29" s="13">
        <v>-412.64</v>
      </c>
      <c r="H29" s="13">
        <v>-412.64</v>
      </c>
      <c r="I29" s="13">
        <v>-412.64</v>
      </c>
      <c r="J29" s="13">
        <v>-412.64</v>
      </c>
      <c r="K29" s="13">
        <v>-412.64</v>
      </c>
      <c r="L29" s="13">
        <v>-412.64</v>
      </c>
      <c r="M29" s="13">
        <v>-618.96</v>
      </c>
      <c r="N29" s="13">
        <v>-618.96</v>
      </c>
      <c r="O29" s="13">
        <v>-428.73</v>
      </c>
      <c r="P29" s="13">
        <v>-428.73</v>
      </c>
      <c r="Q29" s="13">
        <v>-428.73</v>
      </c>
      <c r="R29" s="13">
        <v>-820.17</v>
      </c>
      <c r="S29" s="13">
        <v>-475.35</v>
      </c>
      <c r="T29" s="26">
        <v>-400</v>
      </c>
    </row>
    <row r="30" spans="1:20" ht="15.75" x14ac:dyDescent="0.25">
      <c r="A30" s="12" t="s">
        <v>222</v>
      </c>
      <c r="B30" s="13" t="s">
        <v>223</v>
      </c>
      <c r="C30" s="13" t="s">
        <v>224</v>
      </c>
      <c r="D30" s="13" t="s">
        <v>225</v>
      </c>
      <c r="E30" s="13" t="s">
        <v>226</v>
      </c>
      <c r="F30" s="13" t="s">
        <v>227</v>
      </c>
      <c r="G30" s="13" t="s">
        <v>228</v>
      </c>
      <c r="H30" s="13" t="s">
        <v>229</v>
      </c>
      <c r="I30" s="13" t="s">
        <v>230</v>
      </c>
      <c r="J30" s="13" t="s">
        <v>231</v>
      </c>
      <c r="K30" s="13" t="s">
        <v>232</v>
      </c>
      <c r="L30" s="13" t="s">
        <v>228</v>
      </c>
      <c r="M30" s="13" t="s">
        <v>233</v>
      </c>
      <c r="N30" s="13" t="s">
        <v>234</v>
      </c>
      <c r="O30" s="13" t="s">
        <v>235</v>
      </c>
      <c r="P30" s="13" t="s">
        <v>236</v>
      </c>
      <c r="Q30" s="13" t="s">
        <v>237</v>
      </c>
      <c r="R30" s="13" t="s">
        <v>238</v>
      </c>
      <c r="S30" s="13" t="s">
        <v>448</v>
      </c>
      <c r="T30" s="26" t="s">
        <v>471</v>
      </c>
    </row>
    <row r="31" spans="1:20" ht="15.75" x14ac:dyDescent="0.25">
      <c r="A31" s="12" t="s">
        <v>239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 t="s">
        <v>240</v>
      </c>
      <c r="S31" s="13"/>
      <c r="T31" s="26"/>
    </row>
    <row r="32" spans="1:20" ht="15.75" x14ac:dyDescent="0.25">
      <c r="A32" s="12" t="s">
        <v>241</v>
      </c>
      <c r="B32" s="13" t="s">
        <v>242</v>
      </c>
      <c r="C32" s="13" t="s">
        <v>243</v>
      </c>
      <c r="D32" s="13" t="s">
        <v>244</v>
      </c>
      <c r="E32" s="13" t="s">
        <v>245</v>
      </c>
      <c r="F32" s="13" t="s">
        <v>246</v>
      </c>
      <c r="G32" s="13" t="s">
        <v>247</v>
      </c>
      <c r="H32" s="13" t="s">
        <v>248</v>
      </c>
      <c r="I32" s="13" t="s">
        <v>247</v>
      </c>
      <c r="J32" s="13" t="s">
        <v>248</v>
      </c>
      <c r="K32" s="13" t="s">
        <v>246</v>
      </c>
      <c r="L32" s="13" t="s">
        <v>246</v>
      </c>
      <c r="M32" s="13" t="s">
        <v>246</v>
      </c>
      <c r="N32" s="13" t="s">
        <v>249</v>
      </c>
      <c r="O32" s="13" t="s">
        <v>250</v>
      </c>
      <c r="P32" s="13" t="s">
        <v>251</v>
      </c>
      <c r="Q32" s="13" t="s">
        <v>252</v>
      </c>
      <c r="R32" s="13" t="s">
        <v>253</v>
      </c>
      <c r="S32" s="13" t="s">
        <v>449</v>
      </c>
      <c r="T32" s="26" t="s">
        <v>472</v>
      </c>
    </row>
    <row r="33" spans="1:25" ht="15.75" x14ac:dyDescent="0.25">
      <c r="A33" s="12" t="s">
        <v>254</v>
      </c>
      <c r="B33" s="13">
        <v>-52.76</v>
      </c>
      <c r="C33" s="13">
        <v>-52.76</v>
      </c>
      <c r="D33" s="13">
        <v>-52.76</v>
      </c>
      <c r="E33" s="13">
        <v>-52.76</v>
      </c>
      <c r="F33" s="13">
        <v>-52.76</v>
      </c>
      <c r="G33" s="13">
        <v>-56.24</v>
      </c>
      <c r="H33" s="13">
        <v>-56.24</v>
      </c>
      <c r="I33" s="13">
        <v>-56.24</v>
      </c>
      <c r="J33" s="13">
        <v>-56.24</v>
      </c>
      <c r="K33" s="13">
        <v>-56.24</v>
      </c>
      <c r="L33" s="13">
        <v>-56.24</v>
      </c>
      <c r="M33" s="13">
        <v>-56.24</v>
      </c>
      <c r="N33" s="13">
        <v>-56.24</v>
      </c>
      <c r="O33" s="13">
        <v>-56.24</v>
      </c>
      <c r="P33" s="13">
        <v>-56.24</v>
      </c>
      <c r="Q33" s="13">
        <v>-56.24</v>
      </c>
      <c r="R33" s="13">
        <v>-56.24</v>
      </c>
      <c r="S33" s="13">
        <v>-59.28</v>
      </c>
      <c r="T33" s="26">
        <v>0</v>
      </c>
    </row>
    <row r="34" spans="1:25" ht="15.75" x14ac:dyDescent="0.25">
      <c r="A34" s="12" t="s">
        <v>255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-587</v>
      </c>
      <c r="K34" s="13">
        <v>0</v>
      </c>
      <c r="L34" s="13">
        <v>0</v>
      </c>
      <c r="M34" s="13">
        <v>0</v>
      </c>
      <c r="N34" s="13"/>
      <c r="O34" s="13"/>
      <c r="P34" s="14"/>
      <c r="Q34" s="14"/>
      <c r="R34" s="14"/>
      <c r="S34" s="14"/>
      <c r="T34" s="27"/>
    </row>
    <row r="35" spans="1:25" ht="15.75" x14ac:dyDescent="0.25">
      <c r="A35" s="10" t="s">
        <v>256</v>
      </c>
      <c r="B35" s="11" t="s">
        <v>257</v>
      </c>
      <c r="C35" s="11" t="s">
        <v>258</v>
      </c>
      <c r="D35" s="11" t="s">
        <v>259</v>
      </c>
      <c r="E35" s="11" t="s">
        <v>260</v>
      </c>
      <c r="F35" s="11" t="s">
        <v>261</v>
      </c>
      <c r="G35" s="11" t="s">
        <v>262</v>
      </c>
      <c r="H35" s="11" t="s">
        <v>263</v>
      </c>
      <c r="I35" s="11" t="s">
        <v>264</v>
      </c>
      <c r="J35" s="11" t="s">
        <v>265</v>
      </c>
      <c r="K35" s="11" t="s">
        <v>266</v>
      </c>
      <c r="L35" s="11" t="s">
        <v>267</v>
      </c>
      <c r="M35" s="11" t="s">
        <v>268</v>
      </c>
      <c r="N35" s="11" t="s">
        <v>269</v>
      </c>
      <c r="O35" s="11" t="s">
        <v>270</v>
      </c>
      <c r="P35" s="11" t="s">
        <v>271</v>
      </c>
      <c r="Q35" s="11" t="s">
        <v>272</v>
      </c>
      <c r="R35" s="11" t="s">
        <v>273</v>
      </c>
      <c r="S35" s="11" t="s">
        <v>450</v>
      </c>
      <c r="T35" s="25" t="s">
        <v>473</v>
      </c>
    </row>
    <row r="36" spans="1:25" ht="16.5" thickBot="1" x14ac:dyDescent="0.3">
      <c r="A36" s="10" t="s">
        <v>274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-360</v>
      </c>
      <c r="I36" s="11">
        <v>-280.61</v>
      </c>
      <c r="J36" s="11">
        <v>0</v>
      </c>
      <c r="K36" s="11" t="s">
        <v>275</v>
      </c>
      <c r="L36" s="11">
        <v>0</v>
      </c>
      <c r="M36" s="11" t="s">
        <v>275</v>
      </c>
      <c r="N36" s="11">
        <v>-293.74</v>
      </c>
      <c r="O36" s="11"/>
      <c r="P36" s="11"/>
      <c r="Q36" s="11" t="s">
        <v>275</v>
      </c>
      <c r="R36" s="11" t="s">
        <v>275</v>
      </c>
      <c r="S36" s="11">
        <v>-162.5</v>
      </c>
      <c r="T36" s="25"/>
    </row>
    <row r="37" spans="1:25" ht="16.5" thickBot="1" x14ac:dyDescent="0.3">
      <c r="A37" s="12" t="s">
        <v>276</v>
      </c>
      <c r="B37" s="13">
        <v>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-280.61</v>
      </c>
      <c r="J37" s="13">
        <v>0</v>
      </c>
      <c r="K37" s="13" t="s">
        <v>275</v>
      </c>
      <c r="L37" s="13">
        <v>0</v>
      </c>
      <c r="M37" s="13" t="s">
        <v>275</v>
      </c>
      <c r="N37" s="13">
        <v>-293.74</v>
      </c>
      <c r="O37" s="13"/>
      <c r="P37" s="13"/>
      <c r="Q37" s="13" t="s">
        <v>275</v>
      </c>
      <c r="R37" s="13" t="s">
        <v>275</v>
      </c>
      <c r="S37" s="13"/>
      <c r="T37" s="26"/>
      <c r="Y37" s="16"/>
    </row>
    <row r="38" spans="1:25" ht="15.75" x14ac:dyDescent="0.25">
      <c r="A38" s="12" t="s">
        <v>461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>
        <v>-162.5</v>
      </c>
      <c r="T38" s="26"/>
    </row>
    <row r="39" spans="1:25" ht="15.75" x14ac:dyDescent="0.25">
      <c r="A39" s="12" t="s">
        <v>277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-360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/>
      <c r="O39" s="13"/>
      <c r="P39" s="13"/>
      <c r="Q39" s="13"/>
      <c r="R39" s="13"/>
      <c r="S39" s="13"/>
      <c r="T39" s="26"/>
    </row>
    <row r="40" spans="1:25" ht="15.75" x14ac:dyDescent="0.25">
      <c r="A40" s="10" t="s">
        <v>278</v>
      </c>
      <c r="B40" s="11" t="s">
        <v>279</v>
      </c>
      <c r="C40" s="11" t="s">
        <v>280</v>
      </c>
      <c r="D40" s="11" t="s">
        <v>281</v>
      </c>
      <c r="E40" s="11" t="s">
        <v>282</v>
      </c>
      <c r="F40" s="11" t="s">
        <v>261</v>
      </c>
      <c r="G40" s="11" t="s">
        <v>262</v>
      </c>
      <c r="H40" s="11" t="s">
        <v>283</v>
      </c>
      <c r="I40" s="11" t="s">
        <v>284</v>
      </c>
      <c r="J40" s="11" t="s">
        <v>285</v>
      </c>
      <c r="K40" s="11" t="s">
        <v>286</v>
      </c>
      <c r="L40" s="11" t="s">
        <v>287</v>
      </c>
      <c r="M40" s="11" t="s">
        <v>288</v>
      </c>
      <c r="N40" s="11" t="s">
        <v>289</v>
      </c>
      <c r="O40" s="11" t="s">
        <v>270</v>
      </c>
      <c r="P40" s="11" t="s">
        <v>290</v>
      </c>
      <c r="Q40" s="11" t="s">
        <v>291</v>
      </c>
      <c r="R40" s="11" t="s">
        <v>292</v>
      </c>
      <c r="S40" s="11" t="s">
        <v>451</v>
      </c>
      <c r="T40" s="25" t="s">
        <v>474</v>
      </c>
    </row>
    <row r="41" spans="1:25" ht="15.75" x14ac:dyDescent="0.25">
      <c r="A41" s="12" t="s">
        <v>65</v>
      </c>
      <c r="B41" s="13">
        <v>-954.6</v>
      </c>
      <c r="C41" s="13">
        <v>0</v>
      </c>
      <c r="D41" s="13" t="s">
        <v>293</v>
      </c>
      <c r="E41" s="13" t="s">
        <v>294</v>
      </c>
      <c r="F41" s="13" t="s">
        <v>295</v>
      </c>
      <c r="G41" s="13" t="s">
        <v>296</v>
      </c>
      <c r="H41" s="13" t="s">
        <v>297</v>
      </c>
      <c r="I41" s="13" t="s">
        <v>298</v>
      </c>
      <c r="J41" s="13" t="s">
        <v>299</v>
      </c>
      <c r="K41" s="13" t="s">
        <v>300</v>
      </c>
      <c r="L41" s="13" t="s">
        <v>301</v>
      </c>
      <c r="M41" s="13" t="s">
        <v>302</v>
      </c>
      <c r="N41" s="13"/>
      <c r="O41" s="13" t="s">
        <v>303</v>
      </c>
      <c r="P41" s="13" t="s">
        <v>304</v>
      </c>
      <c r="Q41" s="13">
        <v>-667.44</v>
      </c>
      <c r="R41" s="13" t="s">
        <v>305</v>
      </c>
      <c r="S41" s="13" t="s">
        <v>452</v>
      </c>
      <c r="T41" s="26" t="s">
        <v>475</v>
      </c>
    </row>
    <row r="42" spans="1:25" ht="15.75" x14ac:dyDescent="0.25">
      <c r="A42" s="12" t="s">
        <v>306</v>
      </c>
      <c r="B42" s="13" t="s">
        <v>307</v>
      </c>
      <c r="C42" s="13" t="s">
        <v>308</v>
      </c>
      <c r="D42" s="13" t="s">
        <v>309</v>
      </c>
      <c r="E42" s="13" t="s">
        <v>310</v>
      </c>
      <c r="F42" s="13" t="s">
        <v>311</v>
      </c>
      <c r="G42" s="13" t="s">
        <v>312</v>
      </c>
      <c r="H42" s="13" t="s">
        <v>313</v>
      </c>
      <c r="I42" s="13" t="s">
        <v>314</v>
      </c>
      <c r="J42" s="13" t="s">
        <v>315</v>
      </c>
      <c r="K42" s="13" t="s">
        <v>316</v>
      </c>
      <c r="L42" s="13" t="s">
        <v>317</v>
      </c>
      <c r="M42" s="13" t="s">
        <v>318</v>
      </c>
      <c r="N42" s="13" t="s">
        <v>319</v>
      </c>
      <c r="O42" s="13" t="s">
        <v>320</v>
      </c>
      <c r="P42" s="13" t="s">
        <v>321</v>
      </c>
      <c r="Q42" s="13" t="s">
        <v>322</v>
      </c>
      <c r="R42" s="13" t="s">
        <v>323</v>
      </c>
      <c r="S42" s="13" t="s">
        <v>453</v>
      </c>
      <c r="T42" s="26" t="s">
        <v>476</v>
      </c>
    </row>
    <row r="43" spans="1:25" ht="15.75" x14ac:dyDescent="0.25">
      <c r="A43" s="12" t="s">
        <v>82</v>
      </c>
      <c r="B43" s="13" t="s">
        <v>324</v>
      </c>
      <c r="C43" s="13" t="s">
        <v>325</v>
      </c>
      <c r="D43" s="13">
        <v>0</v>
      </c>
      <c r="E43" s="13" t="s">
        <v>326</v>
      </c>
      <c r="F43" s="13" t="s">
        <v>327</v>
      </c>
      <c r="G43" s="13">
        <v>0</v>
      </c>
      <c r="H43" s="13" t="s">
        <v>328</v>
      </c>
      <c r="I43" s="13" t="s">
        <v>329</v>
      </c>
      <c r="J43" s="13" t="s">
        <v>330</v>
      </c>
      <c r="K43" s="13" t="s">
        <v>331</v>
      </c>
      <c r="L43" s="13">
        <v>-777.21</v>
      </c>
      <c r="M43" s="13" t="s">
        <v>332</v>
      </c>
      <c r="N43" s="13">
        <v>-662.44</v>
      </c>
      <c r="O43" s="13" t="s">
        <v>333</v>
      </c>
      <c r="P43" s="13" t="s">
        <v>334</v>
      </c>
      <c r="Q43" s="13" t="s">
        <v>335</v>
      </c>
      <c r="R43" s="13" t="s">
        <v>336</v>
      </c>
      <c r="S43" s="13" t="s">
        <v>454</v>
      </c>
      <c r="T43" s="26" t="s">
        <v>477</v>
      </c>
    </row>
    <row r="44" spans="1:25" ht="15.75" x14ac:dyDescent="0.25">
      <c r="A44" s="12" t="s">
        <v>94</v>
      </c>
      <c r="B44" s="13">
        <v>-900</v>
      </c>
      <c r="C44" s="13">
        <v>0</v>
      </c>
      <c r="D44" s="13">
        <v>-700</v>
      </c>
      <c r="E44" s="13">
        <v>-300</v>
      </c>
      <c r="F44" s="13" t="s">
        <v>337</v>
      </c>
      <c r="G44" s="13">
        <v>0</v>
      </c>
      <c r="H44" s="13">
        <v>-650</v>
      </c>
      <c r="I44" s="13">
        <v>-700</v>
      </c>
      <c r="J44" s="13" t="s">
        <v>338</v>
      </c>
      <c r="K44" s="13">
        <v>-350</v>
      </c>
      <c r="L44" s="13">
        <v>-350</v>
      </c>
      <c r="M44" s="13">
        <v>-200</v>
      </c>
      <c r="N44" s="13">
        <v>-500</v>
      </c>
      <c r="O44" s="13">
        <v>-500</v>
      </c>
      <c r="P44" s="13">
        <v>0</v>
      </c>
      <c r="Q44" s="13">
        <v>-250</v>
      </c>
      <c r="R44" s="13" t="s">
        <v>339</v>
      </c>
      <c r="S44" s="13" t="s">
        <v>339</v>
      </c>
      <c r="T44" s="26" t="s">
        <v>478</v>
      </c>
    </row>
    <row r="45" spans="1:25" ht="15.75" x14ac:dyDescent="0.25">
      <c r="A45" s="12" t="s">
        <v>114</v>
      </c>
      <c r="B45" s="13" t="s">
        <v>340</v>
      </c>
      <c r="C45" s="13">
        <v>0</v>
      </c>
      <c r="D45" s="13">
        <v>-938.8</v>
      </c>
      <c r="E45" s="13" t="s">
        <v>341</v>
      </c>
      <c r="F45" s="13" t="s">
        <v>342</v>
      </c>
      <c r="G45" s="13" t="s">
        <v>343</v>
      </c>
      <c r="H45" s="13" t="s">
        <v>344</v>
      </c>
      <c r="I45" s="13" t="s">
        <v>345</v>
      </c>
      <c r="J45" s="13" t="s">
        <v>346</v>
      </c>
      <c r="K45" s="13" t="s">
        <v>347</v>
      </c>
      <c r="L45" s="13" t="s">
        <v>348</v>
      </c>
      <c r="M45" s="13" t="s">
        <v>349</v>
      </c>
      <c r="N45" s="13" t="s">
        <v>350</v>
      </c>
      <c r="O45" s="13" t="s">
        <v>351</v>
      </c>
      <c r="P45" s="13" t="s">
        <v>352</v>
      </c>
      <c r="Q45" s="13" t="s">
        <v>353</v>
      </c>
      <c r="R45" s="13" t="s">
        <v>354</v>
      </c>
      <c r="S45" s="13" t="s">
        <v>455</v>
      </c>
      <c r="T45" s="26" t="s">
        <v>479</v>
      </c>
    </row>
    <row r="46" spans="1:25" ht="15.75" x14ac:dyDescent="0.25">
      <c r="A46" s="12" t="s">
        <v>355</v>
      </c>
      <c r="B46" s="13" t="s">
        <v>356</v>
      </c>
      <c r="C46" s="13" t="s">
        <v>357</v>
      </c>
      <c r="D46" s="13" t="s">
        <v>358</v>
      </c>
      <c r="E46" s="13" t="s">
        <v>359</v>
      </c>
      <c r="F46" s="13">
        <v>-380</v>
      </c>
      <c r="G46" s="13" t="s">
        <v>360</v>
      </c>
      <c r="H46" s="13" t="s">
        <v>361</v>
      </c>
      <c r="I46" s="13" t="s">
        <v>362</v>
      </c>
      <c r="J46" s="13">
        <v>0</v>
      </c>
      <c r="K46" s="13" t="s">
        <v>363</v>
      </c>
      <c r="L46" s="13" t="s">
        <v>364</v>
      </c>
      <c r="M46" s="13" t="s">
        <v>365</v>
      </c>
      <c r="N46" s="13">
        <v>-380</v>
      </c>
      <c r="O46" s="13"/>
      <c r="P46" s="13" t="s">
        <v>366</v>
      </c>
      <c r="Q46" s="13"/>
      <c r="R46" s="13" t="s">
        <v>367</v>
      </c>
      <c r="S46" s="13">
        <v>0</v>
      </c>
      <c r="T46" s="26" t="s">
        <v>480</v>
      </c>
    </row>
    <row r="47" spans="1:25" ht="15.75" x14ac:dyDescent="0.25">
      <c r="A47" s="12" t="s">
        <v>132</v>
      </c>
      <c r="B47" s="13" t="s">
        <v>368</v>
      </c>
      <c r="C47" s="13">
        <v>-549.21</v>
      </c>
      <c r="D47" s="13" t="s">
        <v>369</v>
      </c>
      <c r="E47" s="13" t="s">
        <v>370</v>
      </c>
      <c r="F47" s="13" t="s">
        <v>371</v>
      </c>
      <c r="G47" s="13" t="s">
        <v>372</v>
      </c>
      <c r="H47" s="13">
        <v>-689.25</v>
      </c>
      <c r="I47" s="13" t="s">
        <v>373</v>
      </c>
      <c r="J47" s="13" t="s">
        <v>374</v>
      </c>
      <c r="K47" s="13" t="s">
        <v>375</v>
      </c>
      <c r="L47" s="13" t="s">
        <v>376</v>
      </c>
      <c r="M47" s="13">
        <v>-748.59</v>
      </c>
      <c r="N47" s="13">
        <v>-671.08</v>
      </c>
      <c r="O47" s="13" t="s">
        <v>377</v>
      </c>
      <c r="P47" s="13">
        <v>-930.55</v>
      </c>
      <c r="Q47" s="13" t="s">
        <v>378</v>
      </c>
      <c r="R47" s="13">
        <v>-921.31</v>
      </c>
      <c r="S47" s="13" t="s">
        <v>456</v>
      </c>
      <c r="T47" s="26" t="s">
        <v>481</v>
      </c>
    </row>
    <row r="48" spans="1:25" ht="15.75" x14ac:dyDescent="0.25">
      <c r="A48" s="10" t="s">
        <v>379</v>
      </c>
      <c r="B48" s="11" t="s">
        <v>380</v>
      </c>
      <c r="C48" s="11" t="s">
        <v>381</v>
      </c>
      <c r="D48" s="11" t="s">
        <v>382</v>
      </c>
      <c r="E48" s="11" t="s">
        <v>383</v>
      </c>
      <c r="F48" s="11">
        <v>0</v>
      </c>
      <c r="G48" s="11">
        <v>0</v>
      </c>
      <c r="H48" s="11" t="s">
        <v>384</v>
      </c>
      <c r="I48" s="11">
        <v>0</v>
      </c>
      <c r="J48" s="11" t="s">
        <v>385</v>
      </c>
      <c r="K48" s="11" t="s">
        <v>386</v>
      </c>
      <c r="L48" s="11">
        <v>-270</v>
      </c>
      <c r="M48" s="11">
        <v>-270</v>
      </c>
      <c r="N48" s="11" t="s">
        <v>387</v>
      </c>
      <c r="O48" s="17"/>
      <c r="P48" s="11" t="s">
        <v>388</v>
      </c>
      <c r="Q48" s="11" t="s">
        <v>389</v>
      </c>
      <c r="R48" s="11" t="s">
        <v>390</v>
      </c>
      <c r="S48" s="11" t="s">
        <v>457</v>
      </c>
      <c r="T48" s="25" t="s">
        <v>482</v>
      </c>
    </row>
    <row r="49" spans="1:20" ht="15.75" x14ac:dyDescent="0.25">
      <c r="A49" s="12" t="s">
        <v>391</v>
      </c>
      <c r="B49" s="13" t="s">
        <v>380</v>
      </c>
      <c r="C49" s="13" t="s">
        <v>381</v>
      </c>
      <c r="D49" s="13" t="s">
        <v>382</v>
      </c>
      <c r="E49" s="13" t="s">
        <v>383</v>
      </c>
      <c r="F49" s="13">
        <v>0</v>
      </c>
      <c r="G49" s="13">
        <v>0</v>
      </c>
      <c r="H49" s="13" t="s">
        <v>384</v>
      </c>
      <c r="I49" s="13">
        <v>0</v>
      </c>
      <c r="J49" s="13" t="s">
        <v>385</v>
      </c>
      <c r="K49" s="13" t="s">
        <v>386</v>
      </c>
      <c r="L49" s="13">
        <v>-270</v>
      </c>
      <c r="M49" s="13">
        <v>-270</v>
      </c>
      <c r="N49" s="13" t="s">
        <v>387</v>
      </c>
      <c r="O49" s="14"/>
      <c r="P49" s="13" t="s">
        <v>388</v>
      </c>
      <c r="Q49" s="13" t="s">
        <v>389</v>
      </c>
      <c r="R49" s="13" t="s">
        <v>390</v>
      </c>
      <c r="S49" s="13" t="s">
        <v>457</v>
      </c>
      <c r="T49" s="26" t="s">
        <v>482</v>
      </c>
    </row>
    <row r="50" spans="1:20" ht="15.75" x14ac:dyDescent="0.25">
      <c r="A50" s="10" t="s">
        <v>392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-4</v>
      </c>
      <c r="K50" s="11">
        <v>0</v>
      </c>
      <c r="L50" s="11">
        <v>0</v>
      </c>
      <c r="M50" s="11">
        <v>0</v>
      </c>
      <c r="N50" s="11">
        <v>-4</v>
      </c>
      <c r="O50" s="17"/>
      <c r="P50" s="17"/>
      <c r="Q50" s="17"/>
      <c r="R50" s="17"/>
      <c r="S50" s="17"/>
      <c r="T50" s="29"/>
    </row>
    <row r="51" spans="1:20" ht="15.75" x14ac:dyDescent="0.25">
      <c r="A51" s="12" t="s">
        <v>393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-4</v>
      </c>
      <c r="K51" s="13">
        <v>0</v>
      </c>
      <c r="L51" s="13">
        <v>0</v>
      </c>
      <c r="M51" s="13">
        <v>0</v>
      </c>
      <c r="N51" s="13">
        <v>-4</v>
      </c>
      <c r="O51" s="14"/>
      <c r="P51" s="14"/>
      <c r="Q51" s="14"/>
      <c r="R51" s="14"/>
      <c r="S51" s="14"/>
      <c r="T51" s="27"/>
    </row>
    <row r="52" spans="1:20" ht="15.75" x14ac:dyDescent="0.25">
      <c r="A52" s="10" t="s">
        <v>394</v>
      </c>
      <c r="B52" s="11">
        <v>-174.07</v>
      </c>
      <c r="C52" s="11" t="s">
        <v>395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 t="s">
        <v>396</v>
      </c>
      <c r="M52" s="11">
        <v>-32.380000000000003</v>
      </c>
      <c r="N52" s="11"/>
      <c r="O52" s="17"/>
      <c r="P52" s="17"/>
      <c r="Q52" s="11" t="s">
        <v>397</v>
      </c>
      <c r="R52" s="11"/>
      <c r="S52" s="11"/>
      <c r="T52" s="25"/>
    </row>
    <row r="53" spans="1:20" ht="15.75" x14ac:dyDescent="0.25">
      <c r="A53" s="12" t="s">
        <v>398</v>
      </c>
      <c r="B53" s="13">
        <v>-174.07</v>
      </c>
      <c r="C53" s="13" t="s">
        <v>395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 t="s">
        <v>399</v>
      </c>
      <c r="M53" s="13">
        <v>-32.380000000000003</v>
      </c>
      <c r="N53" s="13"/>
      <c r="O53" s="14"/>
      <c r="P53" s="14"/>
      <c r="Q53" s="13" t="s">
        <v>397</v>
      </c>
      <c r="R53" s="13"/>
      <c r="S53" s="13"/>
      <c r="T53" s="26"/>
    </row>
    <row r="54" spans="1:20" ht="15.75" x14ac:dyDescent="0.25">
      <c r="A54" s="12" t="s">
        <v>400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-18.079999999999998</v>
      </c>
      <c r="M54" s="13">
        <v>0</v>
      </c>
      <c r="N54" s="13"/>
      <c r="O54" s="14"/>
      <c r="P54" s="14"/>
      <c r="Q54" s="14"/>
      <c r="R54" s="14"/>
      <c r="S54" s="14"/>
      <c r="T54" s="27"/>
    </row>
    <row r="55" spans="1:20" ht="15.75" x14ac:dyDescent="0.25">
      <c r="A55" s="7" t="s">
        <v>401</v>
      </c>
      <c r="B55" s="9" t="s">
        <v>402</v>
      </c>
      <c r="C55" s="9" t="s">
        <v>403</v>
      </c>
      <c r="D55" s="9" t="s">
        <v>404</v>
      </c>
      <c r="E55" s="9" t="s">
        <v>405</v>
      </c>
      <c r="F55" s="9" t="s">
        <v>406</v>
      </c>
      <c r="G55" s="9" t="s">
        <v>407</v>
      </c>
      <c r="H55" s="9" t="s">
        <v>408</v>
      </c>
      <c r="I55" s="9" t="s">
        <v>409</v>
      </c>
      <c r="J55" s="9" t="s">
        <v>410</v>
      </c>
      <c r="K55" s="9" t="s">
        <v>411</v>
      </c>
      <c r="L55" s="9" t="s">
        <v>412</v>
      </c>
      <c r="M55" s="9" t="s">
        <v>413</v>
      </c>
      <c r="N55" s="9" t="s">
        <v>414</v>
      </c>
      <c r="O55" s="18" t="s">
        <v>415</v>
      </c>
      <c r="P55" s="19" t="s">
        <v>416</v>
      </c>
      <c r="Q55" s="19" t="s">
        <v>417</v>
      </c>
      <c r="R55" s="19" t="s">
        <v>418</v>
      </c>
      <c r="S55" s="19" t="s">
        <v>458</v>
      </c>
      <c r="T55" s="30" t="s">
        <v>483</v>
      </c>
    </row>
    <row r="56" spans="1:20" ht="16.5" thickBot="1" x14ac:dyDescent="0.3">
      <c r="A56" s="20" t="s">
        <v>419</v>
      </c>
      <c r="B56" s="21" t="s">
        <v>420</v>
      </c>
      <c r="C56" s="21" t="s">
        <v>421</v>
      </c>
      <c r="D56" s="21" t="s">
        <v>422</v>
      </c>
      <c r="E56" s="21" t="s">
        <v>423</v>
      </c>
      <c r="F56" s="21" t="s">
        <v>424</v>
      </c>
      <c r="G56" s="21" t="s">
        <v>425</v>
      </c>
      <c r="H56" s="21" t="s">
        <v>426</v>
      </c>
      <c r="I56" s="21" t="s">
        <v>427</v>
      </c>
      <c r="J56" s="21" t="s">
        <v>428</v>
      </c>
      <c r="K56" s="21" t="s">
        <v>429</v>
      </c>
      <c r="L56" s="21" t="s">
        <v>430</v>
      </c>
      <c r="M56" s="21" t="s">
        <v>431</v>
      </c>
      <c r="N56" s="21" t="s">
        <v>432</v>
      </c>
      <c r="O56" s="21" t="s">
        <v>433</v>
      </c>
      <c r="P56" s="21" t="s">
        <v>434</v>
      </c>
      <c r="Q56" s="21" t="s">
        <v>435</v>
      </c>
      <c r="R56" s="21" t="s">
        <v>436</v>
      </c>
      <c r="S56" s="21" t="s">
        <v>459</v>
      </c>
      <c r="T56" s="31" t="s">
        <v>484</v>
      </c>
    </row>
    <row r="63" spans="1:20" x14ac:dyDescent="0.25">
      <c r="B63" s="22"/>
    </row>
    <row r="64" spans="1:20" x14ac:dyDescent="0.25">
      <c r="A64" s="5"/>
    </row>
  </sheetData>
  <mergeCells count="1">
    <mergeCell ref="B1:T1"/>
  </mergeCells>
  <conditionalFormatting sqref="A3:T3">
    <cfRule type="cellIs" dxfId="8" priority="4" operator="greaterThan">
      <formula>1</formula>
    </cfRule>
  </conditionalFormatting>
  <conditionalFormatting sqref="A18:T18">
    <cfRule type="cellIs" dxfId="7" priority="3" operator="greaterThan">
      <formula>1</formula>
    </cfRule>
  </conditionalFormatting>
  <conditionalFormatting sqref="B55:O56">
    <cfRule type="cellIs" dxfId="6" priority="9" operator="lessThan">
      <formula>0</formula>
    </cfRule>
  </conditionalFormatting>
  <conditionalFormatting sqref="M55:O55 C55 G55 K55">
    <cfRule type="cellIs" dxfId="5" priority="13" operator="greaterThan">
      <formula>1</formula>
    </cfRule>
  </conditionalFormatting>
  <conditionalFormatting sqref="N55:O55">
    <cfRule type="cellIs" dxfId="4" priority="10" operator="greaterThan">
      <formula>0</formula>
    </cfRule>
  </conditionalFormatting>
  <conditionalFormatting sqref="O55 B55:N56">
    <cfRule type="cellIs" dxfId="3" priority="14" operator="greaterThan">
      <formula>1</formula>
    </cfRule>
  </conditionalFormatting>
  <conditionalFormatting sqref="O56:T56">
    <cfRule type="cellIs" dxfId="2" priority="2" operator="greaterThan">
      <formula>1</formula>
    </cfRule>
  </conditionalFormatting>
  <conditionalFormatting sqref="P56:T56">
    <cfRule type="cellIs" dxfId="1" priority="1" operator="lessThan">
      <formula>0</formula>
    </cfRule>
  </conditionalFormatting>
  <conditionalFormatting sqref="Q55">
    <cfRule type="cellIs" dxfId="0" priority="6" operator="greaterThan">
      <formula>1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Apresentação de Resultados</vt:lpstr>
      <vt:lpstr>DFC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Viana</dc:creator>
  <cp:lastModifiedBy>Financeiro - RR Dias Reis Advocacia</cp:lastModifiedBy>
  <dcterms:created xsi:type="dcterms:W3CDTF">2026-05-10T11:17:57Z</dcterms:created>
  <dcterms:modified xsi:type="dcterms:W3CDTF">2026-08-03T17:09:06Z</dcterms:modified>
</cp:coreProperties>
</file>